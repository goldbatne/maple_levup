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곡선·전투" sheetId="2" state="visible" r:id="rId4"/>
    <sheet name="빌드 시나리오" sheetId="3" state="visible" r:id="rId5"/>
    <sheet name="랜드마크 사다리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<sst xmlns="http://schemas.openxmlformats.org/spreadsheetml/2006/main" count="107" uniqueCount="100">
  <si>
    <r>
      <rPr>
        <b val="true"/>
        <sz val="11"/>
        <rFont val="Noto Sans CJK SC"/>
        <family val="2"/>
      </rPr>
      <t xml:space="preserve">밸런스 가정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파란색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조절 가능한 입력값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</si>
  <si>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세션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회차</t>
    </r>
  </si>
  <si>
    <r>
      <rPr>
        <sz val="11"/>
        <rFont val="Noto Sans CJK SC"/>
        <family val="2"/>
      </rPr>
      <t xml:space="preserve">세션 길이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분</t>
    </r>
    <r>
      <rPr>
        <sz val="11"/>
        <rFont val="Arial"/>
        <family val="0"/>
        <charset val="1"/>
      </rPr>
      <t xml:space="preserve">)</t>
    </r>
  </si>
  <si>
    <t xml:space="preserve">출퇴근 짬짬이 기준</t>
  </si>
  <si>
    <t xml:space="preserve">초기 레벨 캡</t>
  </si>
  <si>
    <r>
      <rPr>
        <sz val="9"/>
        <color rgb="FF777777"/>
        <rFont val="Arial"/>
        <family val="0"/>
        <charset val="1"/>
      </rPr>
      <t xml:space="preserve">1</t>
    </r>
    <r>
      <rPr>
        <sz val="9"/>
        <color rgb="FF777777"/>
        <rFont val="Noto Sans CJK SC"/>
        <family val="2"/>
      </rPr>
      <t xml:space="preserve">회차 하드 캡</t>
    </r>
  </si>
  <si>
    <t xml:space="preserve">레벨당 스탯 포인트</t>
  </si>
  <si>
    <r>
      <rPr>
        <sz val="9"/>
        <color rgb="FF777777"/>
        <rFont val="Noto Sans CJK SC"/>
        <family val="2"/>
      </rPr>
      <t xml:space="preserve">기본 지급 </t>
    </r>
    <r>
      <rPr>
        <sz val="9"/>
        <color rgb="FF777777"/>
        <rFont val="Arial"/>
        <family val="0"/>
        <charset val="1"/>
      </rPr>
      <t xml:space="preserve">(</t>
    </r>
    <r>
      <rPr>
        <sz val="9"/>
        <color rgb="FF777777"/>
        <rFont val="Noto Sans CJK SC"/>
        <family val="2"/>
      </rPr>
      <t xml:space="preserve">티어 상승 전</t>
    </r>
    <r>
      <rPr>
        <sz val="9"/>
        <color rgb="FF777777"/>
        <rFont val="Arial"/>
        <family val="0"/>
        <charset val="1"/>
      </rPr>
      <t xml:space="preserve">)</t>
    </r>
  </si>
  <si>
    <t xml:space="preserve">경험치 곡선</t>
  </si>
  <si>
    <r>
      <rPr>
        <sz val="11"/>
        <rFont val="Arial"/>
        <family val="0"/>
        <charset val="1"/>
      </rPr>
      <t xml:space="preserve">Lv1 </t>
    </r>
    <r>
      <rPr>
        <sz val="11"/>
        <rFont val="Noto Sans CJK SC"/>
        <family val="2"/>
      </rPr>
      <t xml:space="preserve">필요 </t>
    </r>
    <r>
      <rPr>
        <sz val="11"/>
        <rFont val="Arial"/>
        <family val="0"/>
        <charset val="1"/>
      </rPr>
      <t xml:space="preserve">EXP</t>
    </r>
  </si>
  <si>
    <r>
      <rPr>
        <sz val="11"/>
        <rFont val="Noto Sans CJK SC"/>
        <family val="2"/>
      </rPr>
      <t xml:space="preserve">필요 </t>
    </r>
    <r>
      <rPr>
        <sz val="11"/>
        <rFont val="Arial"/>
        <family val="0"/>
        <charset val="1"/>
      </rPr>
      <t xml:space="preserve">EXP </t>
    </r>
    <r>
      <rPr>
        <sz val="11"/>
        <rFont val="Noto Sans CJK SC"/>
        <family val="2"/>
      </rPr>
      <t xml:space="preserve">공비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레벨당</t>
    </r>
    <r>
      <rPr>
        <sz val="11"/>
        <rFont val="Arial"/>
        <family val="0"/>
        <charset val="1"/>
      </rPr>
      <t xml:space="preserve">)</t>
    </r>
  </si>
  <si>
    <r>
      <rPr>
        <sz val="9"/>
        <color rgb="FF777777"/>
        <rFont val="Noto Sans CJK SC"/>
        <family val="2"/>
      </rPr>
      <t xml:space="preserve">순한 지수 곡선 </t>
    </r>
    <r>
      <rPr>
        <sz val="9"/>
        <color rgb="FF777777"/>
        <rFont val="Arial"/>
        <family val="0"/>
        <charset val="1"/>
      </rPr>
      <t xml:space="preserve">(1.1~1.15 </t>
    </r>
    <r>
      <rPr>
        <sz val="9"/>
        <color rgb="FF777777"/>
        <rFont val="Noto Sans CJK SC"/>
        <family val="2"/>
      </rPr>
      <t xml:space="preserve">권장 범위</t>
    </r>
    <r>
      <rPr>
        <sz val="9"/>
        <color rgb="FF777777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</si>
  <si>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Lv1 </t>
    </r>
    <r>
      <rPr>
        <sz val="11"/>
        <rFont val="Noto Sans CJK SC"/>
        <family val="2"/>
      </rPr>
      <t xml:space="preserve">몬스터 </t>
    </r>
    <r>
      <rPr>
        <sz val="11"/>
        <rFont val="Arial"/>
        <family val="0"/>
        <charset val="1"/>
      </rPr>
      <t xml:space="preserve">EXP</t>
    </r>
  </si>
  <si>
    <r>
      <rPr>
        <sz val="11"/>
        <rFont val="Noto Sans CJK SC"/>
        <family val="2"/>
      </rPr>
      <t xml:space="preserve">몬스터 </t>
    </r>
    <r>
      <rPr>
        <sz val="11"/>
        <rFont val="Arial"/>
        <family val="0"/>
        <charset val="1"/>
      </rPr>
      <t xml:space="preserve">EXP </t>
    </r>
    <r>
      <rPr>
        <sz val="11"/>
        <rFont val="Noto Sans CJK SC"/>
        <family val="2"/>
      </rPr>
      <t xml:space="preserve">공비</t>
    </r>
  </si>
  <si>
    <r>
      <rPr>
        <sz val="9"/>
        <color rgb="FF777777"/>
        <rFont val="Noto Sans CJK SC"/>
        <family val="2"/>
      </rPr>
      <t xml:space="preserve">필요</t>
    </r>
    <r>
      <rPr>
        <sz val="9"/>
        <color rgb="FF777777"/>
        <rFont val="Arial"/>
        <family val="0"/>
        <charset val="1"/>
      </rPr>
      <t xml:space="preserve">EXP </t>
    </r>
    <r>
      <rPr>
        <sz val="9"/>
        <color rgb="FF777777"/>
        <rFont val="Noto Sans CJK SC"/>
        <family val="2"/>
      </rPr>
      <t xml:space="preserve">공비보다 낮게 → 캡 근처 완만한 감속</t>
    </r>
  </si>
  <si>
    <r>
      <rPr>
        <sz val="11"/>
        <rFont val="Noto Sans CJK SC"/>
        <family val="2"/>
      </rPr>
      <t xml:space="preserve">처치당 시간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초</t>
    </r>
    <r>
      <rPr>
        <sz val="11"/>
        <rFont val="Arial"/>
        <family val="0"/>
        <charset val="1"/>
      </rPr>
      <t xml:space="preserve">)</t>
    </r>
  </si>
  <si>
    <r>
      <rPr>
        <sz val="9"/>
        <color rgb="FF777777"/>
        <rFont val="Noto Sans CJK SC"/>
        <family val="2"/>
      </rPr>
      <t xml:space="preserve">이동</t>
    </r>
    <r>
      <rPr>
        <sz val="9"/>
        <color rgb="FF777777"/>
        <rFont val="Arial"/>
        <family val="0"/>
        <charset val="1"/>
      </rPr>
      <t xml:space="preserve">+</t>
    </r>
    <r>
      <rPr>
        <sz val="9"/>
        <color rgb="FF777777"/>
        <rFont val="Noto Sans CJK SC"/>
        <family val="2"/>
      </rPr>
      <t xml:space="preserve">전투 포함 평균</t>
    </r>
  </si>
  <si>
    <t xml:space="preserve">플레이어 전투력</t>
  </si>
  <si>
    <r>
      <rPr>
        <sz val="11"/>
        <rFont val="Noto Sans CJK SC"/>
        <family val="2"/>
      </rPr>
      <t xml:space="preserve">기본 </t>
    </r>
    <r>
      <rPr>
        <sz val="11"/>
        <rFont val="Arial"/>
        <family val="0"/>
        <charset val="1"/>
      </rPr>
      <t xml:space="preserve">ATK (</t>
    </r>
    <r>
      <rPr>
        <sz val="11"/>
        <rFont val="Noto Sans CJK SC"/>
        <family val="2"/>
      </rPr>
      <t xml:space="preserve">분배 전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</si>
  <si>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스탯 </t>
    </r>
    <r>
      <rPr>
        <sz val="11"/>
        <rFont val="Arial"/>
        <family val="0"/>
        <charset val="1"/>
      </rPr>
      <t xml:space="preserve">1P</t>
    </r>
    <r>
      <rPr>
        <sz val="11"/>
        <rFont val="Noto Sans CJK SC"/>
        <family val="2"/>
      </rPr>
      <t xml:space="preserve">당 </t>
    </r>
    <r>
      <rPr>
        <sz val="11"/>
        <rFont val="Arial"/>
        <family val="0"/>
        <charset val="1"/>
      </rPr>
      <t xml:space="preserve">ATK</t>
    </r>
  </si>
  <si>
    <r>
      <rPr>
        <sz val="11"/>
        <rFont val="Arial"/>
        <family val="0"/>
        <charset val="1"/>
      </rPr>
      <t xml:space="preserve">ATK </t>
    </r>
    <r>
      <rPr>
        <sz val="11"/>
        <rFont val="Noto Sans CJK SC"/>
        <family val="2"/>
      </rPr>
      <t xml:space="preserve">분배 비중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기준 빌드</t>
    </r>
    <r>
      <rPr>
        <sz val="11"/>
        <rFont val="Arial"/>
        <family val="0"/>
        <charset val="1"/>
      </rPr>
      <t xml:space="preserve">)</t>
    </r>
  </si>
  <si>
    <r>
      <rPr>
        <sz val="9"/>
        <color rgb="FF777777"/>
        <rFont val="Noto Sans CJK SC"/>
        <family val="2"/>
      </rPr>
      <t xml:space="preserve">총 포인트 중 </t>
    </r>
    <r>
      <rPr>
        <sz val="9"/>
        <color rgb="FF777777"/>
        <rFont val="Arial"/>
        <family val="0"/>
        <charset val="1"/>
      </rPr>
      <t xml:space="preserve">ATK</t>
    </r>
    <r>
      <rPr>
        <sz val="9"/>
        <color rgb="FF777777"/>
        <rFont val="Noto Sans CJK SC"/>
        <family val="2"/>
      </rPr>
      <t xml:space="preserve">에 넣는 비율</t>
    </r>
  </si>
  <si>
    <r>
      <rPr>
        <sz val="11"/>
        <rFont val="Noto Sans CJK SC"/>
        <family val="2"/>
      </rPr>
      <t xml:space="preserve">스킬 계수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기준 직업 스킬</t>
    </r>
    <r>
      <rPr>
        <sz val="11"/>
        <rFont val="Arial"/>
        <family val="0"/>
        <charset val="1"/>
      </rPr>
      <t xml:space="preserve">)</t>
    </r>
  </si>
  <si>
    <r>
      <rPr>
        <sz val="9"/>
        <color rgb="FF777777"/>
        <rFont val="Noto Sans CJK SC"/>
        <family val="2"/>
      </rPr>
      <t xml:space="preserve">데미지 </t>
    </r>
    <r>
      <rPr>
        <sz val="9"/>
        <color rgb="FF777777"/>
        <rFont val="Arial"/>
        <family val="0"/>
        <charset val="1"/>
      </rPr>
      <t xml:space="preserve">= </t>
    </r>
    <r>
      <rPr>
        <sz val="9"/>
        <color rgb="FF777777"/>
        <rFont val="Noto Sans CJK SC"/>
        <family val="2"/>
      </rPr>
      <t xml:space="preserve">계수 </t>
    </r>
    <r>
      <rPr>
        <sz val="9"/>
        <color rgb="FF777777"/>
        <rFont val="Arial"/>
        <family val="0"/>
        <charset val="1"/>
      </rPr>
      <t xml:space="preserve">× ATK² / (ATK+DEF)</t>
    </r>
  </si>
  <si>
    <t xml:space="preserve">몬스터 성장</t>
  </si>
  <si>
    <r>
      <rPr>
        <sz val="11"/>
        <rFont val="Arial"/>
        <family val="0"/>
        <charset val="1"/>
      </rPr>
      <t xml:space="preserve">Lv1 </t>
    </r>
    <r>
      <rPr>
        <sz val="11"/>
        <rFont val="Noto Sans CJK SC"/>
        <family val="2"/>
      </rPr>
      <t xml:space="preserve">몬스터 </t>
    </r>
    <r>
      <rPr>
        <sz val="11"/>
        <rFont val="Arial"/>
        <family val="0"/>
        <charset val="1"/>
      </rPr>
      <t xml:space="preserve">HP</t>
    </r>
  </si>
  <si>
    <r>
      <rPr>
        <sz val="11"/>
        <rFont val="Noto Sans CJK SC"/>
        <family val="2"/>
      </rPr>
      <t xml:space="preserve">몬스터 </t>
    </r>
    <r>
      <rPr>
        <sz val="11"/>
        <rFont val="Arial"/>
        <family val="0"/>
        <charset val="1"/>
      </rPr>
      <t xml:space="preserve">HP </t>
    </r>
    <r>
      <rPr>
        <sz val="11"/>
        <rFont val="Noto Sans CJK SC"/>
        <family val="2"/>
      </rPr>
      <t xml:space="preserve">공비</t>
    </r>
  </si>
  <si>
    <r>
      <rPr>
        <sz val="11"/>
        <rFont val="Arial"/>
        <family val="0"/>
        <charset val="1"/>
      </rPr>
      <t xml:space="preserve">Lv1 </t>
    </r>
    <r>
      <rPr>
        <sz val="11"/>
        <rFont val="Noto Sans CJK SC"/>
        <family val="2"/>
      </rPr>
      <t xml:space="preserve">몬스터 </t>
    </r>
    <r>
      <rPr>
        <sz val="11"/>
        <rFont val="Arial"/>
        <family val="0"/>
        <charset val="1"/>
      </rPr>
      <t xml:space="preserve">DEF</t>
    </r>
  </si>
  <si>
    <r>
      <rPr>
        <sz val="11"/>
        <rFont val="Noto Sans CJK SC"/>
        <family val="2"/>
      </rPr>
      <t xml:space="preserve">몬스터 </t>
    </r>
    <r>
      <rPr>
        <sz val="11"/>
        <rFont val="Arial"/>
        <family val="0"/>
        <charset val="1"/>
      </rPr>
      <t xml:space="preserve">DEF </t>
    </r>
    <r>
      <rPr>
        <sz val="11"/>
        <rFont val="Noto Sans CJK SC"/>
        <family val="2"/>
      </rPr>
      <t xml:space="preserve">공비</t>
    </r>
  </si>
  <si>
    <r>
      <rPr>
        <b val="true"/>
        <sz val="11"/>
        <rFont val="Noto Sans CJK SC"/>
        <family val="2"/>
      </rPr>
      <t xml:space="preserve">포획 </t>
    </r>
    <r>
      <rPr>
        <b val="true"/>
        <sz val="11"/>
        <rFont val="Arial"/>
        <family val="0"/>
        <charset val="1"/>
      </rPr>
      <t xml:space="preserve">(LUK)</t>
    </r>
  </si>
  <si>
    <t xml:space="preserve">기본 포획 확률</t>
  </si>
  <si>
    <t xml:space="preserve">3%</t>
  </si>
  <si>
    <r>
      <rPr>
        <sz val="11"/>
        <rFont val="Arial"/>
        <family val="0"/>
        <charset val="1"/>
      </rPr>
      <t xml:space="preserve">LUK 1P</t>
    </r>
    <r>
      <rPr>
        <sz val="11"/>
        <rFont val="Noto Sans CJK SC"/>
        <family val="2"/>
      </rPr>
      <t xml:space="preserve">당 포획 보정</t>
    </r>
  </si>
  <si>
    <t xml:space="preserve">+0.1%p</t>
  </si>
  <si>
    <r>
      <rPr>
        <sz val="11"/>
        <rFont val="Noto Sans CJK SC"/>
        <family val="2"/>
      </rPr>
      <t xml:space="preserve">포획 천장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처치 수</t>
    </r>
    <r>
      <rPr>
        <sz val="11"/>
        <rFont val="Arial"/>
        <family val="0"/>
        <charset val="1"/>
      </rPr>
      <t xml:space="preserve">)</t>
    </r>
  </si>
  <si>
    <r>
      <rPr>
        <sz val="9"/>
        <color rgb="FF777777"/>
        <rFont val="Arial"/>
        <family val="0"/>
        <charset val="1"/>
      </rPr>
      <t xml:space="preserve">N</t>
    </r>
    <r>
      <rPr>
        <sz val="9"/>
        <color rgb="FF777777"/>
        <rFont val="Noto Sans CJK SC"/>
        <family val="2"/>
      </rPr>
      <t xml:space="preserve">마리 처치 시 확정 포획 — 빈손 세션 방지</t>
    </r>
  </si>
  <si>
    <r>
      <rPr>
        <b val="true"/>
        <sz val="11"/>
        <rFont val="Noto Sans CJK SC"/>
        <family val="2"/>
      </rPr>
      <t xml:space="preserve">레벨 곡선 </t>
    </r>
    <r>
      <rPr>
        <b val="true"/>
        <sz val="11"/>
        <rFont val="Arial"/>
        <family val="0"/>
        <charset val="1"/>
      </rPr>
      <t xml:space="preserve">+ </t>
    </r>
    <r>
      <rPr>
        <b val="true"/>
        <sz val="11"/>
        <rFont val="Noto Sans CJK SC"/>
        <family val="2"/>
      </rPr>
      <t xml:space="preserve">전투 검증 </t>
    </r>
    <r>
      <rPr>
        <b val="true"/>
        <sz val="11"/>
        <rFont val="Arial"/>
        <family val="0"/>
        <charset val="1"/>
      </rPr>
      <t xml:space="preserve">(Lv 1~60) — </t>
    </r>
    <r>
      <rPr>
        <b val="true"/>
        <sz val="11"/>
        <rFont val="Noto Sans CJK SC"/>
        <family val="2"/>
      </rPr>
      <t xml:space="preserve">주황 행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초기 캡</t>
    </r>
  </si>
  <si>
    <t xml:space="preserve">Lv</t>
  </si>
  <si>
    <r>
      <rPr>
        <b val="true"/>
        <sz val="11"/>
        <color rgb="FFFFFFFF"/>
        <rFont val="Noto Sans CJK SC"/>
        <family val="2"/>
      </rPr>
      <t xml:space="preserve">필요 </t>
    </r>
    <r>
      <rPr>
        <b val="true"/>
        <sz val="11"/>
        <color rgb="FFFFFFFF"/>
        <rFont val="Arial"/>
        <family val="0"/>
        <charset val="1"/>
      </rPr>
      <t xml:space="preserve">EXP</t>
    </r>
  </si>
  <si>
    <r>
      <rPr>
        <b val="true"/>
        <sz val="11"/>
        <color rgb="FFFFFFFF"/>
        <rFont val="Noto Sans CJK SC"/>
        <family val="2"/>
      </rPr>
      <t xml:space="preserve">몬스터 </t>
    </r>
    <r>
      <rPr>
        <b val="true"/>
        <sz val="11"/>
        <color rgb="FFFFFFFF"/>
        <rFont val="Arial"/>
        <family val="0"/>
        <charset val="1"/>
      </rPr>
      <t xml:space="preserve">EXP</t>
    </r>
  </si>
  <si>
    <t xml:space="preserve">레벨업 처치 수</t>
  </si>
  <si>
    <t xml:space="preserve">누적 처치</t>
  </si>
  <si>
    <r>
      <rPr>
        <b val="true"/>
        <sz val="11"/>
        <color rgb="FFFFFFFF"/>
        <rFont val="Noto Sans CJK SC"/>
        <family val="2"/>
      </rPr>
      <t xml:space="preserve">레벨업 시간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초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</si>
  <si>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누적 시간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</si>
  <si>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분배 가능 </t>
    </r>
    <r>
      <rPr>
        <b val="true"/>
        <sz val="11"/>
        <color rgb="FFFFFFFF"/>
        <rFont val="Arial"/>
        <family val="0"/>
        <charset val="1"/>
      </rPr>
      <t xml:space="preserve">P (</t>
    </r>
    <r>
      <rPr>
        <b val="true"/>
        <sz val="11"/>
        <color rgb="FFFFFFFF"/>
        <rFont val="Noto Sans CJK SC"/>
        <family val="2"/>
      </rPr>
      <t xml:space="preserve">누적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</si>
  <si>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ATK (</t>
    </r>
    <r>
      <rPr>
        <b val="true"/>
        <sz val="11"/>
        <color rgb="FFFFFFFF"/>
        <rFont val="Noto Sans CJK SC"/>
        <family val="2"/>
      </rPr>
      <t xml:space="preserve">기준 빌드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</si>
  <si>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몬스터 </t>
    </r>
    <r>
      <rPr>
        <b val="true"/>
        <sz val="11"/>
        <color rgb="FFFFFFFF"/>
        <rFont val="Arial"/>
        <family val="0"/>
        <charset val="1"/>
      </rPr>
      <t xml:space="preserve">HP</t>
    </r>
  </si>
  <si>
    <r>
      <rPr>
        <b val="true"/>
        <sz val="11"/>
        <color rgb="FFFFFFFF"/>
        <rFont val="Noto Sans CJK SC"/>
        <family val="2"/>
      </rPr>
      <t xml:space="preserve">몬스터 </t>
    </r>
    <r>
      <rPr>
        <b val="true"/>
        <sz val="11"/>
        <color rgb="FFFFFFFF"/>
        <rFont val="Arial"/>
        <family val="0"/>
        <charset val="1"/>
      </rPr>
      <t xml:space="preserve">DEF</t>
    </r>
  </si>
  <si>
    <t xml:space="preserve">타격 데미지</t>
  </si>
  <si>
    <t xml:space="preserve">처치 타수</t>
  </si>
  <si>
    <t xml:space="preserve">체크 지표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</si>
  <si>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캡까지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총 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</si>
  <si>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회차 세션 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세션 길이 기준</t>
    </r>
    <r>
      <rPr>
        <sz val="11"/>
        <color theme="1"/>
        <rFont val="Calibri"/>
        <family val="2"/>
        <charset val="1"/>
      </rPr>
      <t xml:space="preserve">)</t>
    </r>
  </si>
  <si>
    <r>
      <rPr>
        <sz val="9"/>
        <color rgb="FF777777"/>
        <rFont val="Noto Sans CJK SC"/>
        <family val="2"/>
      </rPr>
      <t xml:space="preserve">목표</t>
    </r>
    <r>
      <rPr>
        <sz val="9"/>
        <color rgb="FF777777"/>
        <rFont val="Arial"/>
        <family val="0"/>
        <charset val="1"/>
      </rPr>
      <t xml:space="preserve">: 2~3</t>
    </r>
    <r>
      <rPr>
        <sz val="9"/>
        <color rgb="FF777777"/>
        <rFont val="Noto Sans CJK SC"/>
        <family val="2"/>
      </rPr>
      <t xml:space="preserve">세션</t>
    </r>
    <r>
      <rPr>
        <sz val="9"/>
        <color rgb="FF777777"/>
        <rFont val="Arial"/>
        <family val="0"/>
        <charset val="1"/>
      </rPr>
      <t xml:space="preserve">. </t>
    </r>
    <r>
      <rPr>
        <sz val="9"/>
        <color rgb="FF777777"/>
        <rFont val="Noto Sans CJK SC"/>
        <family val="2"/>
      </rPr>
      <t xml:space="preserve">벗어나면 </t>
    </r>
    <r>
      <rPr>
        <sz val="9"/>
        <color rgb="FF777777"/>
        <rFont val="Arial"/>
        <family val="0"/>
        <charset val="1"/>
      </rPr>
      <t xml:space="preserve">[</t>
    </r>
    <r>
      <rPr>
        <sz val="9"/>
        <color rgb="FF777777"/>
        <rFont val="Noto Sans CJK SC"/>
        <family val="2"/>
      </rPr>
      <t xml:space="preserve">처치당 시간</t>
    </r>
    <r>
      <rPr>
        <sz val="9"/>
        <color rgb="FF777777"/>
        <rFont val="Arial"/>
        <family val="0"/>
        <charset val="1"/>
      </rPr>
      <t xml:space="preserve">]·[</t>
    </r>
    <r>
      <rPr>
        <sz val="9"/>
        <color rgb="FF777777"/>
        <rFont val="Noto Sans CJK SC"/>
        <family val="2"/>
      </rPr>
      <t xml:space="preserve">몬스터 </t>
    </r>
    <r>
      <rPr>
        <sz val="9"/>
        <color rgb="FF777777"/>
        <rFont val="Arial"/>
        <family val="0"/>
        <charset val="1"/>
      </rPr>
      <t xml:space="preserve">EXP]·[</t>
    </r>
    <r>
      <rPr>
        <sz val="9"/>
        <color rgb="FF777777"/>
        <rFont val="Noto Sans CJK SC"/>
        <family val="2"/>
      </rPr>
      <t xml:space="preserve">캡</t>
    </r>
    <r>
      <rPr>
        <sz val="9"/>
        <color rgb="FF777777"/>
        <rFont val="Arial"/>
        <family val="0"/>
        <charset val="1"/>
      </rPr>
      <t xml:space="preserve">]</t>
    </r>
    <r>
      <rPr>
        <sz val="9"/>
        <color rgb="FF777777"/>
        <rFont val="Noto Sans CJK SC"/>
        <family val="2"/>
      </rPr>
      <t xml:space="preserve">을 조절</t>
    </r>
  </si>
  <si>
    <r>
      <rPr>
        <sz val="9"/>
        <color rgb="FF777777"/>
        <rFont val="Noto Sans CJK SC"/>
        <family val="2"/>
      </rPr>
      <t xml:space="preserve">처치 타수 흐름</t>
    </r>
    <r>
      <rPr>
        <sz val="9"/>
        <color rgb="FF777777"/>
        <rFont val="Arial"/>
        <family val="0"/>
        <charset val="1"/>
      </rPr>
      <t xml:space="preserve">: Lv1 </t>
    </r>
    <r>
      <rPr>
        <sz val="9"/>
        <color rgb="FF777777"/>
        <rFont val="Noto Sans CJK SC"/>
        <family val="2"/>
      </rPr>
      <t xml:space="preserve">대비 캡에서 </t>
    </r>
    <r>
      <rPr>
        <sz val="9"/>
        <color rgb="FF777777"/>
        <rFont val="Arial"/>
        <family val="0"/>
        <charset val="1"/>
      </rPr>
      <t xml:space="preserve">2</t>
    </r>
    <r>
      <rPr>
        <sz val="9"/>
        <color rgb="FF777777"/>
        <rFont val="Noto Sans CJK SC"/>
        <family val="2"/>
      </rPr>
      <t xml:space="preserve">배 이내 권장</t>
    </r>
    <r>
      <rPr>
        <sz val="9"/>
        <color rgb="FF777777"/>
        <rFont val="Arial"/>
        <family val="0"/>
        <charset val="1"/>
      </rPr>
      <t xml:space="preserve">. </t>
    </r>
    <r>
      <rPr>
        <sz val="9"/>
        <color rgb="FF777777"/>
        <rFont val="Noto Sans CJK SC"/>
        <family val="2"/>
      </rPr>
      <t xml:space="preserve">벗어나면 </t>
    </r>
    <r>
      <rPr>
        <sz val="9"/>
        <color rgb="FF777777"/>
        <rFont val="Arial"/>
        <family val="0"/>
        <charset val="1"/>
      </rPr>
      <t xml:space="preserve">[HP </t>
    </r>
    <r>
      <rPr>
        <sz val="9"/>
        <color rgb="FF777777"/>
        <rFont val="Noto Sans CJK SC"/>
        <family val="2"/>
      </rPr>
      <t xml:space="preserve">공비</t>
    </r>
    <r>
      <rPr>
        <sz val="9"/>
        <color rgb="FF777777"/>
        <rFont val="Arial"/>
        <family val="0"/>
        <charset val="1"/>
      </rPr>
      <t xml:space="preserve">] </t>
    </r>
    <r>
      <rPr>
        <sz val="9"/>
        <color rgb="FF777777"/>
        <rFont val="Noto Sans CJK SC"/>
        <family val="2"/>
      </rPr>
      <t xml:space="preserve">조절</t>
    </r>
  </si>
  <si>
    <r>
      <rPr>
        <b val="true"/>
        <sz val="11"/>
        <rFont val="Noto Sans CJK SC"/>
        <family val="2"/>
      </rPr>
      <t xml:space="preserve">캡 도달 시점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초기 캡</t>
    </r>
    <r>
      <rPr>
        <b val="true"/>
        <sz val="11"/>
        <rFont val="Arial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의 분배 빌드 비교 — 파란색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분배 입력</t>
    </r>
  </si>
  <si>
    <r>
      <rPr>
        <sz val="11"/>
        <color theme="1"/>
        <rFont val="Noto Sans CJK SC"/>
        <family val="2"/>
      </rPr>
      <t xml:space="preserve">총 분배 </t>
    </r>
    <r>
      <rPr>
        <sz val="11"/>
        <color theme="1"/>
        <rFont val="Calibri"/>
        <family val="2"/>
        <charset val="1"/>
      </rPr>
      <t xml:space="preserve">P</t>
    </r>
  </si>
  <si>
    <t xml:space="preserve">항목</t>
  </si>
  <si>
    <t xml:space="preserve">공격 몰빵</t>
  </si>
  <si>
    <t xml:space="preserve">밸런스형</t>
  </si>
  <si>
    <r>
      <rPr>
        <b val="true"/>
        <sz val="11"/>
        <color rgb="FFFFFFFF"/>
        <rFont val="Noto Sans CJK SC"/>
        <family val="2"/>
      </rPr>
      <t xml:space="preserve">포획</t>
    </r>
    <r>
      <rPr>
        <b val="true"/>
        <sz val="11"/>
        <color rgb="FFFFFFFF"/>
        <rFont val="Arial"/>
        <family val="0"/>
        <charset val="1"/>
      </rPr>
      <t xml:space="preserve">(LUK) </t>
    </r>
    <r>
      <rPr>
        <b val="true"/>
        <sz val="11"/>
        <color rgb="FFFFFFFF"/>
        <rFont val="Noto Sans CJK SC"/>
        <family val="2"/>
      </rPr>
      <t xml:space="preserve">회차</t>
    </r>
  </si>
  <si>
    <r>
      <rPr>
        <sz val="11"/>
        <rFont val="Arial"/>
        <family val="0"/>
        <charset val="1"/>
      </rPr>
      <t xml:space="preserve">ATK </t>
    </r>
    <r>
      <rPr>
        <sz val="11"/>
        <rFont val="Noto Sans CJK SC"/>
        <family val="2"/>
      </rPr>
      <t xml:space="preserve">분배 </t>
    </r>
    <r>
      <rPr>
        <sz val="11"/>
        <rFont val="Arial"/>
        <family val="0"/>
        <charset val="1"/>
      </rPr>
      <t xml:space="preserve">P</t>
    </r>
  </si>
  <si>
    <r>
      <rPr>
        <sz val="11"/>
        <rFont val="Arial"/>
        <family val="0"/>
        <charset val="1"/>
      </rPr>
      <t xml:space="preserve">DEF </t>
    </r>
    <r>
      <rPr>
        <sz val="11"/>
        <rFont val="Noto Sans CJK SC"/>
        <family val="2"/>
      </rPr>
      <t xml:space="preserve">분배 </t>
    </r>
    <r>
      <rPr>
        <sz val="11"/>
        <rFont val="Arial"/>
        <family val="0"/>
        <charset val="1"/>
      </rPr>
      <t xml:space="preserve">P</t>
    </r>
  </si>
  <si>
    <r>
      <rPr>
        <sz val="11"/>
        <rFont val="Arial"/>
        <family val="0"/>
        <charset val="1"/>
      </rPr>
      <t xml:space="preserve">LUK </t>
    </r>
    <r>
      <rPr>
        <sz val="11"/>
        <rFont val="Noto Sans CJK SC"/>
        <family val="2"/>
      </rPr>
      <t xml:space="preserve">분배 </t>
    </r>
    <r>
      <rPr>
        <sz val="11"/>
        <rFont val="Arial"/>
        <family val="0"/>
        <charset val="1"/>
      </rPr>
      <t xml:space="preserve">P</t>
    </r>
  </si>
  <si>
    <t xml:space="preserve">분배 합계 검증</t>
  </si>
  <si>
    <t xml:space="preserve">ATK</t>
  </si>
  <si>
    <r>
      <rPr>
        <sz val="11"/>
        <rFont val="Noto Sans CJK SC"/>
        <family val="2"/>
      </rPr>
      <t xml:space="preserve">타격 데미지 </t>
    </r>
    <r>
      <rPr>
        <sz val="11"/>
        <rFont val="Arial"/>
        <family val="0"/>
        <charset val="1"/>
      </rPr>
      <t xml:space="preserve">(vs </t>
    </r>
    <r>
      <rPr>
        <sz val="11"/>
        <rFont val="Noto Sans CJK SC"/>
        <family val="2"/>
      </rPr>
      <t xml:space="preserve">캡 몬스터</t>
    </r>
    <r>
      <rPr>
        <sz val="11"/>
        <rFont val="Arial"/>
        <family val="0"/>
        <charset val="1"/>
      </rPr>
      <t xml:space="preserve">)</t>
    </r>
  </si>
  <si>
    <t xml:space="preserve">포획 확률</t>
  </si>
  <si>
    <r>
      <rPr>
        <sz val="11"/>
        <rFont val="Noto Sans CJK SC"/>
        <family val="2"/>
      </rPr>
      <t xml:space="preserve">기대 처치 수 </t>
    </r>
    <r>
      <rPr>
        <sz val="11"/>
        <rFont val="Arial"/>
        <family val="0"/>
        <charset val="1"/>
      </rPr>
      <t xml:space="preserve">(1</t>
    </r>
    <r>
      <rPr>
        <sz val="11"/>
        <rFont val="Noto Sans CJK SC"/>
        <family val="2"/>
      </rPr>
      <t xml:space="preserve">마리 포획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</si>
  <si>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천장 대비 </t>
    </r>
    <r>
      <rPr>
        <sz val="11"/>
        <rFont val="Arial"/>
        <family val="0"/>
        <charset val="1"/>
      </rPr>
      <t xml:space="preserve">(≤1</t>
    </r>
    <r>
      <rPr>
        <sz val="11"/>
        <rFont val="Noto Sans CJK SC"/>
        <family val="2"/>
      </rPr>
      <t xml:space="preserve">이면 천장 전 기대 포획</t>
    </r>
    <r>
      <rPr>
        <sz val="11"/>
        <rFont val="Arial"/>
        <family val="0"/>
        <charset val="1"/>
      </rPr>
      <t xml:space="preserve">)</t>
    </r>
  </si>
  <si>
    <r>
      <rPr>
        <sz val="9"/>
        <color rgb="FF777777"/>
        <rFont val="Noto Sans CJK SC"/>
        <family val="2"/>
      </rPr>
      <t xml:space="preserve">참고</t>
    </r>
    <r>
      <rPr>
        <sz val="9"/>
        <color rgb="FF777777"/>
        <rFont val="Arial"/>
        <family val="0"/>
        <charset val="1"/>
      </rPr>
      <t xml:space="preserve">: DEF </t>
    </r>
    <r>
      <rPr>
        <sz val="9"/>
        <color rgb="FF777777"/>
        <rFont val="Noto Sans CJK SC"/>
        <family val="2"/>
      </rPr>
      <t xml:space="preserve">분배의 생존 효과는 플레이어 피격 모델 확정 후 추가 </t>
    </r>
    <r>
      <rPr>
        <sz val="9"/>
        <color rgb="FF777777"/>
        <rFont val="Arial"/>
        <family val="0"/>
        <charset val="1"/>
      </rPr>
      <t xml:space="preserve">(v0.2)</t>
    </r>
  </si>
  <si>
    <r>
      <rPr>
        <b val="true"/>
        <sz val="11"/>
        <rFont val="Noto Sans CJK SC"/>
        <family val="2"/>
      </rPr>
      <t xml:space="preserve">도달 레벨 랜드마크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환생 시점에 보상 획득</t>
    </r>
    <r>
      <rPr>
        <b val="true"/>
        <sz val="11"/>
        <rFont val="Arial"/>
        <family val="0"/>
        <charset val="1"/>
      </rPr>
      <t xml:space="preserve">) — </t>
    </r>
    <r>
      <rPr>
        <b val="true"/>
        <sz val="11"/>
        <rFont val="Noto Sans CJK SC"/>
        <family val="2"/>
      </rPr>
      <t xml:space="preserve">전부 초안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파란색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설계 입력</t>
    </r>
  </si>
  <si>
    <r>
      <rPr>
        <b val="true"/>
        <sz val="11"/>
        <color rgb="FFFFFFFF"/>
        <rFont val="Noto Sans CJK SC"/>
        <family val="2"/>
      </rPr>
      <t xml:space="preserve">도달 </t>
    </r>
    <r>
      <rPr>
        <b val="true"/>
        <sz val="11"/>
        <color rgb="FFFFFFFF"/>
        <rFont val="Arial"/>
        <family val="0"/>
        <charset val="1"/>
      </rPr>
      <t xml:space="preserve">Lv</t>
    </r>
  </si>
  <si>
    <t xml:space="preserve">보상 유형</t>
  </si>
  <si>
    <t xml:space="preserve">보상 내용</t>
  </si>
  <si>
    <t xml:space="preserve">설계 의도</t>
  </si>
  <si>
    <t xml:space="preserve">초기 캡</t>
  </si>
  <si>
    <t xml:space="preserve">첫 환생 가능</t>
  </si>
  <si>
    <r>
      <rPr>
        <sz val="9"/>
        <color rgb="FF777777"/>
        <rFont val="Noto Sans CJK SC"/>
        <family val="2"/>
      </rPr>
      <t xml:space="preserve">튜토리얼의 완성</t>
    </r>
    <r>
      <rPr>
        <sz val="9"/>
        <color rgb="FF777777"/>
        <rFont val="Arial"/>
        <family val="0"/>
        <charset val="1"/>
      </rPr>
      <t xml:space="preserve">. </t>
    </r>
    <r>
      <rPr>
        <sz val="9"/>
        <color rgb="FF777777"/>
        <rFont val="Noto Sans CJK SC"/>
        <family val="2"/>
      </rPr>
      <t xml:space="preserve">첫날 도달</t>
    </r>
  </si>
  <si>
    <t xml:space="preserve">캡 확장</t>
  </si>
  <si>
    <r>
      <rPr>
        <sz val="11"/>
        <color rgb="FF0000FF"/>
        <rFont val="Noto Sans CJK SC"/>
        <family val="2"/>
      </rPr>
      <t xml:space="preserve">캡 </t>
    </r>
    <r>
      <rPr>
        <sz val="11"/>
        <color rgb="FF0000FF"/>
        <rFont val="Arial"/>
        <family val="0"/>
        <charset val="1"/>
      </rPr>
      <t xml:space="preserve">30 → 40</t>
    </r>
  </si>
  <si>
    <r>
      <rPr>
        <sz val="9"/>
        <color rgb="FF777777"/>
        <rFont val="Noto Sans CJK SC"/>
        <family val="2"/>
      </rPr>
      <t xml:space="preserve">두 번째 벽</t>
    </r>
    <r>
      <rPr>
        <sz val="9"/>
        <color rgb="FF777777"/>
        <rFont val="Arial"/>
        <family val="0"/>
        <charset val="1"/>
      </rPr>
      <t xml:space="preserve">. </t>
    </r>
    <r>
      <rPr>
        <sz val="9"/>
        <color rgb="FF777777"/>
        <rFont val="Noto Sans CJK SC"/>
        <family val="2"/>
      </rPr>
      <t xml:space="preserve">한 축만 상승 원칙</t>
    </r>
  </si>
  <si>
    <t xml:space="preserve">스탯 티어</t>
  </si>
  <si>
    <r>
      <rPr>
        <sz val="11"/>
        <color rgb="FF0000FF"/>
        <rFont val="Noto Sans CJK SC"/>
        <family val="2"/>
      </rPr>
      <t xml:space="preserve">레벨당 스탯 </t>
    </r>
    <r>
      <rPr>
        <sz val="11"/>
        <color rgb="FF0000FF"/>
        <rFont val="Arial"/>
        <family val="0"/>
        <charset val="1"/>
      </rPr>
      <t xml:space="preserve">5 → 6</t>
    </r>
  </si>
  <si>
    <t xml:space="preserve">첫 질적 도약</t>
  </si>
  <si>
    <t xml:space="preserve">직업 해금</t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</si>
  <si>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Noto Sans CJK SC"/>
        <family val="2"/>
      </rPr>
      <t xml:space="preserve">번째 직업</t>
    </r>
  </si>
  <si>
    <r>
      <rPr>
        <sz val="9"/>
        <color rgb="FF777777"/>
        <rFont val="Arial"/>
        <family val="0"/>
        <charset val="1"/>
      </rPr>
      <t xml:space="preserve">"</t>
    </r>
    <r>
      <rPr>
        <sz val="9"/>
        <color rgb="FF777777"/>
        <rFont val="Noto Sans CJK SC"/>
        <family val="2"/>
      </rPr>
      <t xml:space="preserve">다음 환생의 이유</t>
    </r>
    <r>
      <rPr>
        <sz val="9"/>
        <color rgb="FF777777"/>
        <rFont val="Arial"/>
        <family val="0"/>
        <charset val="1"/>
      </rPr>
      <t xml:space="preserve">"</t>
    </r>
  </si>
  <si>
    <t xml:space="preserve">슬롯 확장</t>
  </si>
  <si>
    <r>
      <rPr>
        <sz val="11"/>
        <color rgb="FF0000FF"/>
        <rFont val="Noto Sans CJK SC"/>
        <family val="2"/>
      </rPr>
      <t xml:space="preserve">몬스터 스킬 슬롯 </t>
    </r>
    <r>
      <rPr>
        <sz val="11"/>
        <color rgb="FF0000FF"/>
        <rFont val="Arial"/>
        <family val="0"/>
        <charset val="1"/>
      </rPr>
      <t xml:space="preserve">+1</t>
    </r>
  </si>
  <si>
    <t xml:space="preserve">빌드 폭 확장</t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</si>
  <si>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번째 직업</t>
    </r>
  </si>
  <si>
    <r>
      <rPr>
        <sz val="11"/>
        <color rgb="FF0000FF"/>
        <rFont val="Noto Sans CJK SC"/>
        <family val="2"/>
      </rPr>
      <t xml:space="preserve">레벨당 스탯 </t>
    </r>
    <r>
      <rPr>
        <sz val="11"/>
        <color rgb="FF0000FF"/>
        <rFont val="Arial"/>
        <family val="0"/>
        <charset val="1"/>
      </rPr>
      <t xml:space="preserve">6 → 7</t>
    </r>
  </si>
  <si>
    <t xml:space="preserve">두 자릿수 상징 레벨</t>
  </si>
  <si>
    <r>
      <rPr>
        <sz val="11"/>
        <color rgb="FF0000FF"/>
        <rFont val="Arial"/>
        <family val="0"/>
        <charset val="1"/>
      </rPr>
      <t xml:space="preserve">4</t>
    </r>
    <r>
      <rPr>
        <sz val="11"/>
        <color rgb="FF0000FF"/>
        <rFont val="Noto Sans CJK SC"/>
        <family val="2"/>
      </rPr>
      <t xml:space="preserve">번째 직업</t>
    </r>
  </si>
  <si>
    <r>
      <rPr>
        <sz val="11"/>
        <color rgb="FF0000FF"/>
        <rFont val="Noto Sans CJK SC"/>
        <family val="2"/>
      </rPr>
      <t xml:space="preserve">레벨당 스탯 </t>
    </r>
    <r>
      <rPr>
        <sz val="11"/>
        <color rgb="FF0000FF"/>
        <rFont val="Arial"/>
        <family val="0"/>
        <charset val="1"/>
      </rPr>
      <t xml:space="preserve">7 → 8</t>
    </r>
  </si>
  <si>
    <t xml:space="preserve">대형 랜드마크</t>
  </si>
  <si>
    <r>
      <rPr>
        <sz val="11"/>
        <color rgb="FF0000FF"/>
        <rFont val="Noto Sans CJK SC"/>
        <family val="2"/>
      </rPr>
      <t xml:space="preserve">상위 콘텐츠 개방 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Noto Sans CJK SC"/>
        <family val="2"/>
      </rPr>
      <t xml:space="preserve">로드맵</t>
    </r>
    <r>
      <rPr>
        <sz val="11"/>
        <color rgb="FF0000FF"/>
        <rFont val="Arial"/>
        <family val="0"/>
        <charset val="1"/>
      </rPr>
      <t xml:space="preserve">)</t>
    </r>
  </si>
  <si>
    <t xml:space="preserve">엔드게임 진입점</t>
  </si>
  <si>
    <r>
      <rPr>
        <sz val="9"/>
        <color rgb="FF777777"/>
        <rFont val="Noto Sans CJK SC"/>
        <family val="2"/>
      </rPr>
      <t xml:space="preserve">원칙</t>
    </r>
    <r>
      <rPr>
        <sz val="9"/>
        <color rgb="FF777777"/>
        <rFont val="Arial"/>
        <family val="0"/>
        <charset val="1"/>
      </rPr>
      <t xml:space="preserve">: ① </t>
    </r>
    <r>
      <rPr>
        <sz val="9"/>
        <color rgb="FF777777"/>
        <rFont val="Noto Sans CJK SC"/>
        <family val="2"/>
      </rPr>
      <t xml:space="preserve">한 랜드마크에 한 축만 ② 티어 간격은 완만하게 촘촘히 ③ 랜드마크 사이가 </t>
    </r>
    <r>
      <rPr>
        <sz val="9"/>
        <color rgb="FF777777"/>
        <rFont val="Arial"/>
        <family val="0"/>
        <charset val="1"/>
      </rPr>
      <t xml:space="preserve">3</t>
    </r>
    <r>
      <rPr>
        <sz val="9"/>
        <color rgb="FF777777"/>
        <rFont val="Noto Sans CJK SC"/>
        <family val="2"/>
      </rPr>
      <t xml:space="preserve">회차 이상 벌어지면 사이에 보상 삽입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</si>
</sst>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777777"/>
      <name val="Noto Sans CJK SC"/>
      <family val="2"/>
    </font>
    <font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24384C"/>
        <bgColor rgb="FF003366"/>
      </patternFill>
    </fill>
    <fill>
      <patternFill patternType="solid">
        <fgColor rgb="FFFFE3C7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E3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38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48"/>
  </cols>
  <sheetData>
    <row r="1" customFormat="false" ht="17.15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1" t="s">
        <v>1</v>
      </c>
    </row>
    <row r="4" customFormat="false" ht="17.15" hidden="false" customHeight="false" outlineLevel="0" collapsed="false">
      <c r="A4" s="2" t="s">
        <v>2</v>
      </c>
      <c r="B4" s="3" t="n">
        <v>12</v>
      </c>
      <c r="C4" s="4" t="s">
        <v>3</v>
      </c>
    </row>
    <row r="5" customFormat="false" ht="15" hidden="false" customHeight="false" outlineLevel="0" collapsed="false">
      <c r="A5" s="2" t="s">
        <v>4</v>
      </c>
      <c r="B5" s="3" t="n">
        <v>30</v>
      </c>
      <c r="C5" s="5" t="s">
        <v>5</v>
      </c>
    </row>
    <row r="6" customFormat="false" ht="15" hidden="false" customHeight="false" outlineLevel="0" collapsed="false">
      <c r="A6" s="2" t="s">
        <v>6</v>
      </c>
      <c r="B6" s="3" t="n">
        <v>5</v>
      </c>
      <c r="C6" s="4" t="s">
        <v>7</v>
      </c>
    </row>
    <row r="7" customFormat="false" ht="15" hidden="false" customHeight="false" outlineLevel="0" collapsed="false">
      <c r="A7" s="1" t="s">
        <v>8</v>
      </c>
    </row>
    <row r="8" customFormat="false" ht="17.15" hidden="false" customHeight="false" outlineLevel="0" collapsed="false">
      <c r="A8" s="6" t="s">
        <v>9</v>
      </c>
      <c r="B8" s="3" t="n">
        <v>20</v>
      </c>
      <c r="C8" s="4"/>
    </row>
    <row r="9" customFormat="false" ht="17.15" hidden="false" customHeight="false" outlineLevel="0" collapsed="false">
      <c r="A9" s="2" t="s">
        <v>10</v>
      </c>
      <c r="B9" s="3" t="n">
        <v>1.12</v>
      </c>
      <c r="C9" s="4" t="s">
        <v>11</v>
      </c>
    </row>
    <row r="10" customFormat="false" ht="17.15" hidden="false" customHeight="false" outlineLevel="0" collapsed="false">
      <c r="A10" s="6" t="s">
        <v>12</v>
      </c>
      <c r="B10" s="3" t="n">
        <v>5</v>
      </c>
      <c r="C10" s="4"/>
    </row>
    <row r="11" customFormat="false" ht="17.15" hidden="false" customHeight="false" outlineLevel="0" collapsed="false">
      <c r="A11" s="2" t="s">
        <v>13</v>
      </c>
      <c r="B11" s="3" t="n">
        <v>1.1</v>
      </c>
      <c r="C11" s="4" t="s">
        <v>14</v>
      </c>
    </row>
    <row r="12" customFormat="false" ht="17.15" hidden="false" customHeight="false" outlineLevel="0" collapsed="false">
      <c r="A12" s="2" t="s">
        <v>15</v>
      </c>
      <c r="B12" s="3" t="n">
        <v>10</v>
      </c>
      <c r="C12" s="4" t="s">
        <v>16</v>
      </c>
    </row>
    <row r="13" customFormat="false" ht="15" hidden="false" customHeight="false" outlineLevel="0" collapsed="false">
      <c r="A13" s="1" t="s">
        <v>17</v>
      </c>
    </row>
    <row r="14" customFormat="false" ht="17.15" hidden="false" customHeight="false" outlineLevel="0" collapsed="false">
      <c r="A14" s="2" t="s">
        <v>18</v>
      </c>
      <c r="B14" s="3" t="n">
        <v>10</v>
      </c>
      <c r="C14" s="4"/>
    </row>
    <row r="15" customFormat="false" ht="17.15" hidden="false" customHeight="false" outlineLevel="0" collapsed="false">
      <c r="A15" s="2" t="s">
        <v>19</v>
      </c>
      <c r="B15" s="3" t="n">
        <v>1</v>
      </c>
      <c r="C15" s="4"/>
    </row>
    <row r="16" customFormat="false" ht="17.15" hidden="false" customHeight="false" outlineLevel="0" collapsed="false">
      <c r="A16" s="6" t="s">
        <v>20</v>
      </c>
      <c r="B16" s="7" t="n">
        <v>0.6</v>
      </c>
      <c r="C16" s="4" t="s">
        <v>21</v>
      </c>
    </row>
    <row r="17" customFormat="false" ht="17.15" hidden="false" customHeight="false" outlineLevel="0" collapsed="false">
      <c r="A17" s="2" t="s">
        <v>22</v>
      </c>
      <c r="B17" s="3" t="n">
        <v>1.2</v>
      </c>
      <c r="C17" s="4" t="s">
        <v>23</v>
      </c>
    </row>
    <row r="18" customFormat="false" ht="15" hidden="false" customHeight="false" outlineLevel="0" collapsed="false">
      <c r="A18" s="1" t="s">
        <v>24</v>
      </c>
    </row>
    <row r="19" customFormat="false" ht="17.15" hidden="false" customHeight="false" outlineLevel="0" collapsed="false">
      <c r="A19" s="6" t="s">
        <v>25</v>
      </c>
      <c r="B19" s="3" t="n">
        <v>30</v>
      </c>
      <c r="C19" s="4"/>
    </row>
    <row r="20" customFormat="false" ht="17.15" hidden="false" customHeight="false" outlineLevel="0" collapsed="false">
      <c r="A20" s="2" t="s">
        <v>26</v>
      </c>
      <c r="B20" s="3" t="n">
        <v>1.09</v>
      </c>
      <c r="C20" s="4"/>
    </row>
    <row r="21" customFormat="false" ht="17.15" hidden="false" customHeight="false" outlineLevel="0" collapsed="false">
      <c r="A21" s="6" t="s">
        <v>27</v>
      </c>
      <c r="B21" s="3" t="n">
        <v>5</v>
      </c>
      <c r="C21" s="4"/>
    </row>
    <row r="22" customFormat="false" ht="17.15" hidden="false" customHeight="false" outlineLevel="0" collapsed="false">
      <c r="A22" s="2" t="s">
        <v>28</v>
      </c>
      <c r="B22" s="3" t="n">
        <v>1.08</v>
      </c>
      <c r="C22" s="4"/>
    </row>
    <row r="23" customFormat="false" ht="17.15" hidden="false" customHeight="false" outlineLevel="0" collapsed="false">
      <c r="A23" s="1" t="s">
        <v>29</v>
      </c>
    </row>
    <row r="24" customFormat="false" ht="15" hidden="false" customHeight="false" outlineLevel="0" collapsed="false">
      <c r="A24" s="2" t="s">
        <v>30</v>
      </c>
      <c r="B24" s="8" t="n">
        <v>0.03</v>
      </c>
      <c r="C24" s="5" t="s">
        <v>31</v>
      </c>
    </row>
    <row r="25" customFormat="false" ht="17.15" hidden="false" customHeight="false" outlineLevel="0" collapsed="false">
      <c r="A25" s="6" t="s">
        <v>32</v>
      </c>
      <c r="B25" s="8" t="n">
        <v>0.001</v>
      </c>
      <c r="C25" s="5" t="s">
        <v>33</v>
      </c>
    </row>
    <row r="26" customFormat="false" ht="17.15" hidden="false" customHeight="false" outlineLevel="0" collapsed="false">
      <c r="A26" s="2" t="s">
        <v>34</v>
      </c>
      <c r="B26" s="3" t="n">
        <v>40</v>
      </c>
      <c r="C26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3"/>
  </cols>
  <sheetData>
    <row r="1" customFormat="false" ht="17.15" hidden="false" customHeight="false" outlineLevel="0" collapsed="false">
      <c r="A1" s="1" t="s">
        <v>36</v>
      </c>
    </row>
    <row r="2" customFormat="false" ht="32.8" hidden="false" customHeight="false" outlineLevel="0" collapsed="false">
      <c r="A2" s="9" t="s">
        <v>37</v>
      </c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0" t="s">
        <v>43</v>
      </c>
      <c r="H2" s="10" t="s">
        <v>44</v>
      </c>
      <c r="I2" s="9" t="s">
        <v>45</v>
      </c>
      <c r="J2" s="10" t="s">
        <v>46</v>
      </c>
      <c r="K2" s="10" t="s">
        <v>47</v>
      </c>
      <c r="L2" s="10" t="s">
        <v>48</v>
      </c>
      <c r="M2" s="10" t="s">
        <v>49</v>
      </c>
    </row>
    <row r="3" customFormat="false" ht="15" hidden="false" customHeight="false" outlineLevel="0" collapsed="false">
      <c r="A3" s="11" t="n">
        <v>1</v>
      </c>
      <c r="B3" s="11" t="n">
        <f aca="false">ROUND(가정!$B$8*가정!$B$9^(A3-1),0)</f>
        <v>20</v>
      </c>
      <c r="C3" s="11" t="n">
        <f aca="false">ROUND(가정!$B$10*가정!$B$11^(A3-1),0)</f>
        <v>5</v>
      </c>
      <c r="D3" s="11" t="n">
        <f aca="false">ROUNDUP(B3/C3,0)</f>
        <v>4</v>
      </c>
      <c r="E3" s="11" t="n">
        <f aca="false">SUM($D$3:D3)</f>
        <v>4</v>
      </c>
      <c r="F3" s="11" t="n">
        <f aca="false">D3*가정!$B$12</f>
        <v>40</v>
      </c>
      <c r="G3" s="11" t="n">
        <f aca="false">ROUND(SUM($F$3:F3)/60,1)</f>
        <v>0.7</v>
      </c>
      <c r="H3" s="11" t="n">
        <f aca="false">(A3-1)*가정!$B$6</f>
        <v>0</v>
      </c>
      <c r="I3" s="11" t="n">
        <f aca="false">ROUND(가정!$B$14+H3*가정!$B$16*가정!$B$15,0)</f>
        <v>10</v>
      </c>
      <c r="J3" s="11" t="n">
        <f aca="false">ROUND(가정!$B$19*가정!$B$20^(A3-1),0)</f>
        <v>30</v>
      </c>
      <c r="K3" s="11" t="n">
        <f aca="false">ROUND(가정!$B$21*가정!$B$22^(A3-1),1)</f>
        <v>5</v>
      </c>
      <c r="L3" s="11" t="n">
        <f aca="false">ROUND(가정!$B$17*I3^2/(I3+K3),1)</f>
        <v>8</v>
      </c>
      <c r="M3" s="11" t="n">
        <f aca="false">ROUNDUP(J3/L3,0)</f>
        <v>4</v>
      </c>
    </row>
    <row r="4" customFormat="false" ht="15" hidden="false" customHeight="false" outlineLevel="0" collapsed="false">
      <c r="A4" s="11" t="n">
        <v>2</v>
      </c>
      <c r="B4" s="11" t="n">
        <f aca="false">ROUND(가정!$B$8*가정!$B$9^(A4-1),0)</f>
        <v>22</v>
      </c>
      <c r="C4" s="11" t="n">
        <f aca="false">ROUND(가정!$B$10*가정!$B$11^(A4-1),0)</f>
        <v>6</v>
      </c>
      <c r="D4" s="11" t="n">
        <f aca="false">ROUNDUP(B4/C4,0)</f>
        <v>4</v>
      </c>
      <c r="E4" s="11" t="n">
        <f aca="false">SUM($D$3:D4)</f>
        <v>8</v>
      </c>
      <c r="F4" s="11" t="n">
        <f aca="false">D4*가정!$B$12</f>
        <v>40</v>
      </c>
      <c r="G4" s="11" t="n">
        <f aca="false">ROUND(SUM($F$3:F4)/60,1)</f>
        <v>1.3</v>
      </c>
      <c r="H4" s="11" t="n">
        <f aca="false">(A4-1)*가정!$B$6</f>
        <v>5</v>
      </c>
      <c r="I4" s="11" t="n">
        <f aca="false">ROUND(가정!$B$14+H4*가정!$B$16*가정!$B$15,0)</f>
        <v>13</v>
      </c>
      <c r="J4" s="11" t="n">
        <f aca="false">ROUND(가정!$B$19*가정!$B$20^(A4-1),0)</f>
        <v>33</v>
      </c>
      <c r="K4" s="11" t="n">
        <f aca="false">ROUND(가정!$B$21*가정!$B$22^(A4-1),1)</f>
        <v>5.4</v>
      </c>
      <c r="L4" s="11" t="n">
        <f aca="false">ROUND(가정!$B$17*I4^2/(I4+K4),1)</f>
        <v>11</v>
      </c>
      <c r="M4" s="11" t="n">
        <f aca="false">ROUNDUP(J4/L4,0)</f>
        <v>3</v>
      </c>
    </row>
    <row r="5" customFormat="false" ht="15" hidden="false" customHeight="false" outlineLevel="0" collapsed="false">
      <c r="A5" s="11" t="n">
        <v>3</v>
      </c>
      <c r="B5" s="11" t="n">
        <f aca="false">ROUND(가정!$B$8*가정!$B$9^(A5-1),0)</f>
        <v>25</v>
      </c>
      <c r="C5" s="11" t="n">
        <f aca="false">ROUND(가정!$B$10*가정!$B$11^(A5-1),0)</f>
        <v>6</v>
      </c>
      <c r="D5" s="11" t="n">
        <f aca="false">ROUNDUP(B5/C5,0)</f>
        <v>5</v>
      </c>
      <c r="E5" s="11" t="n">
        <f aca="false">SUM($D$3:D5)</f>
        <v>13</v>
      </c>
      <c r="F5" s="11" t="n">
        <f aca="false">D5*가정!$B$12</f>
        <v>50</v>
      </c>
      <c r="G5" s="11" t="n">
        <f aca="false">ROUND(SUM($F$3:F5)/60,1)</f>
        <v>2.2</v>
      </c>
      <c r="H5" s="11" t="n">
        <f aca="false">(A5-1)*가정!$B$6</f>
        <v>10</v>
      </c>
      <c r="I5" s="11" t="n">
        <f aca="false">ROUND(가정!$B$14+H5*가정!$B$16*가정!$B$15,0)</f>
        <v>16</v>
      </c>
      <c r="J5" s="11" t="n">
        <f aca="false">ROUND(가정!$B$19*가정!$B$20^(A5-1),0)</f>
        <v>36</v>
      </c>
      <c r="K5" s="11" t="n">
        <f aca="false">ROUND(가정!$B$21*가정!$B$22^(A5-1),1)</f>
        <v>5.8</v>
      </c>
      <c r="L5" s="11" t="n">
        <f aca="false">ROUND(가정!$B$17*I5^2/(I5+K5),1)</f>
        <v>14.1</v>
      </c>
      <c r="M5" s="11" t="n">
        <f aca="false">ROUNDUP(J5/L5,0)</f>
        <v>3</v>
      </c>
    </row>
    <row r="6" customFormat="false" ht="15" hidden="false" customHeight="false" outlineLevel="0" collapsed="false">
      <c r="A6" s="11" t="n">
        <v>4</v>
      </c>
      <c r="B6" s="11" t="n">
        <f aca="false">ROUND(가정!$B$8*가정!$B$9^(A6-1),0)</f>
        <v>28</v>
      </c>
      <c r="C6" s="11" t="n">
        <f aca="false">ROUND(가정!$B$10*가정!$B$11^(A6-1),0)</f>
        <v>7</v>
      </c>
      <c r="D6" s="11" t="n">
        <f aca="false">ROUNDUP(B6/C6,0)</f>
        <v>4</v>
      </c>
      <c r="E6" s="11" t="n">
        <f aca="false">SUM($D$3:D6)</f>
        <v>17</v>
      </c>
      <c r="F6" s="11" t="n">
        <f aca="false">D6*가정!$B$12</f>
        <v>40</v>
      </c>
      <c r="G6" s="11" t="n">
        <f aca="false">ROUND(SUM($F$3:F6)/60,1)</f>
        <v>2.8</v>
      </c>
      <c r="H6" s="11" t="n">
        <f aca="false">(A6-1)*가정!$B$6</f>
        <v>15</v>
      </c>
      <c r="I6" s="11" t="n">
        <f aca="false">ROUND(가정!$B$14+H6*가정!$B$16*가정!$B$15,0)</f>
        <v>19</v>
      </c>
      <c r="J6" s="11" t="n">
        <f aca="false">ROUND(가정!$B$19*가정!$B$20^(A6-1),0)</f>
        <v>39</v>
      </c>
      <c r="K6" s="11" t="n">
        <f aca="false">ROUND(가정!$B$21*가정!$B$22^(A6-1),1)</f>
        <v>6.3</v>
      </c>
      <c r="L6" s="11" t="n">
        <f aca="false">ROUND(가정!$B$17*I6^2/(I6+K6),1)</f>
        <v>17.1</v>
      </c>
      <c r="M6" s="11" t="n">
        <f aca="false">ROUNDUP(J6/L6,0)</f>
        <v>3</v>
      </c>
    </row>
    <row r="7" customFormat="false" ht="15" hidden="false" customHeight="false" outlineLevel="0" collapsed="false">
      <c r="A7" s="11" t="n">
        <v>5</v>
      </c>
      <c r="B7" s="11" t="n">
        <f aca="false">ROUND(가정!$B$8*가정!$B$9^(A7-1),0)</f>
        <v>31</v>
      </c>
      <c r="C7" s="11" t="n">
        <f aca="false">ROUND(가정!$B$10*가정!$B$11^(A7-1),0)</f>
        <v>7</v>
      </c>
      <c r="D7" s="11" t="n">
        <f aca="false">ROUNDUP(B7/C7,0)</f>
        <v>5</v>
      </c>
      <c r="E7" s="11" t="n">
        <f aca="false">SUM($D$3:D7)</f>
        <v>22</v>
      </c>
      <c r="F7" s="11" t="n">
        <f aca="false">D7*가정!$B$12</f>
        <v>50</v>
      </c>
      <c r="G7" s="11" t="n">
        <f aca="false">ROUND(SUM($F$3:F7)/60,1)</f>
        <v>3.7</v>
      </c>
      <c r="H7" s="11" t="n">
        <f aca="false">(A7-1)*가정!$B$6</f>
        <v>20</v>
      </c>
      <c r="I7" s="11" t="n">
        <f aca="false">ROUND(가정!$B$14+H7*가정!$B$16*가정!$B$15,0)</f>
        <v>22</v>
      </c>
      <c r="J7" s="11" t="n">
        <f aca="false">ROUND(가정!$B$19*가정!$B$20^(A7-1),0)</f>
        <v>42</v>
      </c>
      <c r="K7" s="11" t="n">
        <f aca="false">ROUND(가정!$B$21*가정!$B$22^(A7-1),1)</f>
        <v>6.8</v>
      </c>
      <c r="L7" s="11" t="n">
        <f aca="false">ROUND(가정!$B$17*I7^2/(I7+K7),1)</f>
        <v>20.2</v>
      </c>
      <c r="M7" s="11" t="n">
        <f aca="false">ROUNDUP(J7/L7,0)</f>
        <v>3</v>
      </c>
    </row>
    <row r="8" customFormat="false" ht="15" hidden="false" customHeight="false" outlineLevel="0" collapsed="false">
      <c r="A8" s="11" t="n">
        <v>6</v>
      </c>
      <c r="B8" s="11" t="n">
        <f aca="false">ROUND(가정!$B$8*가정!$B$9^(A8-1),0)</f>
        <v>35</v>
      </c>
      <c r="C8" s="11" t="n">
        <f aca="false">ROUND(가정!$B$10*가정!$B$11^(A8-1),0)</f>
        <v>8</v>
      </c>
      <c r="D8" s="11" t="n">
        <f aca="false">ROUNDUP(B8/C8,0)</f>
        <v>5</v>
      </c>
      <c r="E8" s="11" t="n">
        <f aca="false">SUM($D$3:D8)</f>
        <v>27</v>
      </c>
      <c r="F8" s="11" t="n">
        <f aca="false">D8*가정!$B$12</f>
        <v>50</v>
      </c>
      <c r="G8" s="11" t="n">
        <f aca="false">ROUND(SUM($F$3:F8)/60,1)</f>
        <v>4.5</v>
      </c>
      <c r="H8" s="11" t="n">
        <f aca="false">(A8-1)*가정!$B$6</f>
        <v>25</v>
      </c>
      <c r="I8" s="11" t="n">
        <f aca="false">ROUND(가정!$B$14+H8*가정!$B$16*가정!$B$15,0)</f>
        <v>25</v>
      </c>
      <c r="J8" s="11" t="n">
        <f aca="false">ROUND(가정!$B$19*가정!$B$20^(A8-1),0)</f>
        <v>46</v>
      </c>
      <c r="K8" s="11" t="n">
        <f aca="false">ROUND(가정!$B$21*가정!$B$22^(A8-1),1)</f>
        <v>7.3</v>
      </c>
      <c r="L8" s="11" t="n">
        <f aca="false">ROUND(가정!$B$17*I8^2/(I8+K8),1)</f>
        <v>23.2</v>
      </c>
      <c r="M8" s="11" t="n">
        <f aca="false">ROUNDUP(J8/L8,0)</f>
        <v>2</v>
      </c>
    </row>
    <row r="9" customFormat="false" ht="15" hidden="false" customHeight="false" outlineLevel="0" collapsed="false">
      <c r="A9" s="11" t="n">
        <v>7</v>
      </c>
      <c r="B9" s="11" t="n">
        <f aca="false">ROUND(가정!$B$8*가정!$B$9^(A9-1),0)</f>
        <v>39</v>
      </c>
      <c r="C9" s="11" t="n">
        <f aca="false">ROUND(가정!$B$10*가정!$B$11^(A9-1),0)</f>
        <v>9</v>
      </c>
      <c r="D9" s="11" t="n">
        <f aca="false">ROUNDUP(B9/C9,0)</f>
        <v>5</v>
      </c>
      <c r="E9" s="11" t="n">
        <f aca="false">SUM($D$3:D9)</f>
        <v>32</v>
      </c>
      <c r="F9" s="11" t="n">
        <f aca="false">D9*가정!$B$12</f>
        <v>50</v>
      </c>
      <c r="G9" s="11" t="n">
        <f aca="false">ROUND(SUM($F$3:F9)/60,1)</f>
        <v>5.3</v>
      </c>
      <c r="H9" s="11" t="n">
        <f aca="false">(A9-1)*가정!$B$6</f>
        <v>30</v>
      </c>
      <c r="I9" s="11" t="n">
        <f aca="false">ROUND(가정!$B$14+H9*가정!$B$16*가정!$B$15,0)</f>
        <v>28</v>
      </c>
      <c r="J9" s="11" t="n">
        <f aca="false">ROUND(가정!$B$19*가정!$B$20^(A9-1),0)</f>
        <v>50</v>
      </c>
      <c r="K9" s="11" t="n">
        <f aca="false">ROUND(가정!$B$21*가정!$B$22^(A9-1),1)</f>
        <v>7.9</v>
      </c>
      <c r="L9" s="11" t="n">
        <f aca="false">ROUND(가정!$B$17*I9^2/(I9+K9),1)</f>
        <v>26.2</v>
      </c>
      <c r="M9" s="11" t="n">
        <f aca="false">ROUNDUP(J9/L9,0)</f>
        <v>2</v>
      </c>
    </row>
    <row r="10" customFormat="false" ht="15" hidden="false" customHeight="false" outlineLevel="0" collapsed="false">
      <c r="A10" s="11" t="n">
        <v>8</v>
      </c>
      <c r="B10" s="11" t="n">
        <f aca="false">ROUND(가정!$B$8*가정!$B$9^(A10-1),0)</f>
        <v>44</v>
      </c>
      <c r="C10" s="11" t="n">
        <f aca="false">ROUND(가정!$B$10*가정!$B$11^(A10-1),0)</f>
        <v>10</v>
      </c>
      <c r="D10" s="11" t="n">
        <f aca="false">ROUNDUP(B10/C10,0)</f>
        <v>5</v>
      </c>
      <c r="E10" s="11" t="n">
        <f aca="false">SUM($D$3:D10)</f>
        <v>37</v>
      </c>
      <c r="F10" s="11" t="n">
        <f aca="false">D10*가정!$B$12</f>
        <v>50</v>
      </c>
      <c r="G10" s="11" t="n">
        <f aca="false">ROUND(SUM($F$3:F10)/60,1)</f>
        <v>6.2</v>
      </c>
      <c r="H10" s="11" t="n">
        <f aca="false">(A10-1)*가정!$B$6</f>
        <v>35</v>
      </c>
      <c r="I10" s="11" t="n">
        <f aca="false">ROUND(가정!$B$14+H10*가정!$B$16*가정!$B$15,0)</f>
        <v>31</v>
      </c>
      <c r="J10" s="11" t="n">
        <f aca="false">ROUND(가정!$B$19*가정!$B$20^(A10-1),0)</f>
        <v>55</v>
      </c>
      <c r="K10" s="11" t="n">
        <f aca="false">ROUND(가정!$B$21*가정!$B$22^(A10-1),1)</f>
        <v>8.6</v>
      </c>
      <c r="L10" s="11" t="n">
        <f aca="false">ROUND(가정!$B$17*I10^2/(I10+K10),1)</f>
        <v>29.1</v>
      </c>
      <c r="M10" s="11" t="n">
        <f aca="false">ROUNDUP(J10/L10,0)</f>
        <v>2</v>
      </c>
    </row>
    <row r="11" customFormat="false" ht="15" hidden="false" customHeight="false" outlineLevel="0" collapsed="false">
      <c r="A11" s="11" t="n">
        <v>9</v>
      </c>
      <c r="B11" s="11" t="n">
        <f aca="false">ROUND(가정!$B$8*가정!$B$9^(A11-1),0)</f>
        <v>50</v>
      </c>
      <c r="C11" s="11" t="n">
        <f aca="false">ROUND(가정!$B$10*가정!$B$11^(A11-1),0)</f>
        <v>11</v>
      </c>
      <c r="D11" s="11" t="n">
        <f aca="false">ROUNDUP(B11/C11,0)</f>
        <v>5</v>
      </c>
      <c r="E11" s="11" t="n">
        <f aca="false">SUM($D$3:D11)</f>
        <v>42</v>
      </c>
      <c r="F11" s="11" t="n">
        <f aca="false">D11*가정!$B$12</f>
        <v>50</v>
      </c>
      <c r="G11" s="11" t="n">
        <f aca="false">ROUND(SUM($F$3:F11)/60,1)</f>
        <v>7</v>
      </c>
      <c r="H11" s="11" t="n">
        <f aca="false">(A11-1)*가정!$B$6</f>
        <v>40</v>
      </c>
      <c r="I11" s="11" t="n">
        <f aca="false">ROUND(가정!$B$14+H11*가정!$B$16*가정!$B$15,0)</f>
        <v>34</v>
      </c>
      <c r="J11" s="11" t="n">
        <f aca="false">ROUND(가정!$B$19*가정!$B$20^(A11-1),0)</f>
        <v>60</v>
      </c>
      <c r="K11" s="11" t="n">
        <f aca="false">ROUND(가정!$B$21*가정!$B$22^(A11-1),1)</f>
        <v>9.3</v>
      </c>
      <c r="L11" s="11" t="n">
        <f aca="false">ROUND(가정!$B$17*I11^2/(I11+K11),1)</f>
        <v>32</v>
      </c>
      <c r="M11" s="11" t="n">
        <f aca="false">ROUNDUP(J11/L11,0)</f>
        <v>2</v>
      </c>
    </row>
    <row r="12" customFormat="false" ht="15" hidden="false" customHeight="false" outlineLevel="0" collapsed="false">
      <c r="A12" s="11" t="n">
        <v>10</v>
      </c>
      <c r="B12" s="11" t="n">
        <f aca="false">ROUND(가정!$B$8*가정!$B$9^(A12-1),0)</f>
        <v>55</v>
      </c>
      <c r="C12" s="11" t="n">
        <f aca="false">ROUND(가정!$B$10*가정!$B$11^(A12-1),0)</f>
        <v>12</v>
      </c>
      <c r="D12" s="11" t="n">
        <f aca="false">ROUNDUP(B12/C12,0)</f>
        <v>5</v>
      </c>
      <c r="E12" s="11" t="n">
        <f aca="false">SUM($D$3:D12)</f>
        <v>47</v>
      </c>
      <c r="F12" s="11" t="n">
        <f aca="false">D12*가정!$B$12</f>
        <v>50</v>
      </c>
      <c r="G12" s="11" t="n">
        <f aca="false">ROUND(SUM($F$3:F12)/60,1)</f>
        <v>7.8</v>
      </c>
      <c r="H12" s="11" t="n">
        <f aca="false">(A12-1)*가정!$B$6</f>
        <v>45</v>
      </c>
      <c r="I12" s="11" t="n">
        <f aca="false">ROUND(가정!$B$14+H12*가정!$B$16*가정!$B$15,0)</f>
        <v>37</v>
      </c>
      <c r="J12" s="11" t="n">
        <f aca="false">ROUND(가정!$B$19*가정!$B$20^(A12-1),0)</f>
        <v>65</v>
      </c>
      <c r="K12" s="11" t="n">
        <f aca="false">ROUND(가정!$B$21*가정!$B$22^(A12-1),1)</f>
        <v>10</v>
      </c>
      <c r="L12" s="11" t="n">
        <f aca="false">ROUND(가정!$B$17*I12^2/(I12+K12),1)</f>
        <v>35</v>
      </c>
      <c r="M12" s="11" t="n">
        <f aca="false">ROUNDUP(J12/L12,0)</f>
        <v>2</v>
      </c>
    </row>
    <row r="13" customFormat="false" ht="15" hidden="false" customHeight="false" outlineLevel="0" collapsed="false">
      <c r="A13" s="11" t="n">
        <v>11</v>
      </c>
      <c r="B13" s="11" t="n">
        <f aca="false">ROUND(가정!$B$8*가정!$B$9^(A13-1),0)</f>
        <v>62</v>
      </c>
      <c r="C13" s="11" t="n">
        <f aca="false">ROUND(가정!$B$10*가정!$B$11^(A13-1),0)</f>
        <v>13</v>
      </c>
      <c r="D13" s="11" t="n">
        <f aca="false">ROUNDUP(B13/C13,0)</f>
        <v>5</v>
      </c>
      <c r="E13" s="11" t="n">
        <f aca="false">SUM($D$3:D13)</f>
        <v>52</v>
      </c>
      <c r="F13" s="11" t="n">
        <f aca="false">D13*가정!$B$12</f>
        <v>50</v>
      </c>
      <c r="G13" s="11" t="n">
        <f aca="false">ROUND(SUM($F$3:F13)/60,1)</f>
        <v>8.7</v>
      </c>
      <c r="H13" s="11" t="n">
        <f aca="false">(A13-1)*가정!$B$6</f>
        <v>50</v>
      </c>
      <c r="I13" s="11" t="n">
        <f aca="false">ROUND(가정!$B$14+H13*가정!$B$16*가정!$B$15,0)</f>
        <v>40</v>
      </c>
      <c r="J13" s="11" t="n">
        <f aca="false">ROUND(가정!$B$19*가정!$B$20^(A13-1),0)</f>
        <v>71</v>
      </c>
      <c r="K13" s="11" t="n">
        <f aca="false">ROUND(가정!$B$21*가정!$B$22^(A13-1),1)</f>
        <v>10.8</v>
      </c>
      <c r="L13" s="11" t="n">
        <f aca="false">ROUND(가정!$B$17*I13^2/(I13+K13),1)</f>
        <v>37.8</v>
      </c>
      <c r="M13" s="11" t="n">
        <f aca="false">ROUNDUP(J13/L13,0)</f>
        <v>2</v>
      </c>
    </row>
    <row r="14" customFormat="false" ht="15" hidden="false" customHeight="false" outlineLevel="0" collapsed="false">
      <c r="A14" s="11" t="n">
        <v>12</v>
      </c>
      <c r="B14" s="11" t="n">
        <f aca="false">ROUND(가정!$B$8*가정!$B$9^(A14-1),0)</f>
        <v>70</v>
      </c>
      <c r="C14" s="11" t="n">
        <f aca="false">ROUND(가정!$B$10*가정!$B$11^(A14-1),0)</f>
        <v>14</v>
      </c>
      <c r="D14" s="11" t="n">
        <f aca="false">ROUNDUP(B14/C14,0)</f>
        <v>5</v>
      </c>
      <c r="E14" s="11" t="n">
        <f aca="false">SUM($D$3:D14)</f>
        <v>57</v>
      </c>
      <c r="F14" s="11" t="n">
        <f aca="false">D14*가정!$B$12</f>
        <v>50</v>
      </c>
      <c r="G14" s="11" t="n">
        <f aca="false">ROUND(SUM($F$3:F14)/60,1)</f>
        <v>9.5</v>
      </c>
      <c r="H14" s="11" t="n">
        <f aca="false">(A14-1)*가정!$B$6</f>
        <v>55</v>
      </c>
      <c r="I14" s="11" t="n">
        <f aca="false">ROUND(가정!$B$14+H14*가정!$B$16*가정!$B$15,0)</f>
        <v>43</v>
      </c>
      <c r="J14" s="11" t="n">
        <f aca="false">ROUND(가정!$B$19*가정!$B$20^(A14-1),0)</f>
        <v>77</v>
      </c>
      <c r="K14" s="11" t="n">
        <f aca="false">ROUND(가정!$B$21*가정!$B$22^(A14-1),1)</f>
        <v>11.7</v>
      </c>
      <c r="L14" s="11" t="n">
        <f aca="false">ROUND(가정!$B$17*I14^2/(I14+K14),1)</f>
        <v>40.6</v>
      </c>
      <c r="M14" s="11" t="n">
        <f aca="false">ROUNDUP(J14/L14,0)</f>
        <v>2</v>
      </c>
    </row>
    <row r="15" customFormat="false" ht="15" hidden="false" customHeight="false" outlineLevel="0" collapsed="false">
      <c r="A15" s="11" t="n">
        <v>13</v>
      </c>
      <c r="B15" s="11" t="n">
        <f aca="false">ROUND(가정!$B$8*가정!$B$9^(A15-1),0)</f>
        <v>78</v>
      </c>
      <c r="C15" s="11" t="n">
        <f aca="false">ROUND(가정!$B$10*가정!$B$11^(A15-1),0)</f>
        <v>16</v>
      </c>
      <c r="D15" s="11" t="n">
        <f aca="false">ROUNDUP(B15/C15,0)</f>
        <v>5</v>
      </c>
      <c r="E15" s="11" t="n">
        <f aca="false">SUM($D$3:D15)</f>
        <v>62</v>
      </c>
      <c r="F15" s="11" t="n">
        <f aca="false">D15*가정!$B$12</f>
        <v>50</v>
      </c>
      <c r="G15" s="11" t="n">
        <f aca="false">ROUND(SUM($F$3:F15)/60,1)</f>
        <v>10.3</v>
      </c>
      <c r="H15" s="11" t="n">
        <f aca="false">(A15-1)*가정!$B$6</f>
        <v>60</v>
      </c>
      <c r="I15" s="11" t="n">
        <f aca="false">ROUND(가정!$B$14+H15*가정!$B$16*가정!$B$15,0)</f>
        <v>46</v>
      </c>
      <c r="J15" s="11" t="n">
        <f aca="false">ROUND(가정!$B$19*가정!$B$20^(A15-1),0)</f>
        <v>84</v>
      </c>
      <c r="K15" s="11" t="n">
        <f aca="false">ROUND(가정!$B$21*가정!$B$22^(A15-1),1)</f>
        <v>12.6</v>
      </c>
      <c r="L15" s="11" t="n">
        <f aca="false">ROUND(가정!$B$17*I15^2/(I15+K15),1)</f>
        <v>43.3</v>
      </c>
      <c r="M15" s="11" t="n">
        <f aca="false">ROUNDUP(J15/L15,0)</f>
        <v>2</v>
      </c>
    </row>
    <row r="16" customFormat="false" ht="15" hidden="false" customHeight="false" outlineLevel="0" collapsed="false">
      <c r="A16" s="11" t="n">
        <v>14</v>
      </c>
      <c r="B16" s="11" t="n">
        <f aca="false">ROUND(가정!$B$8*가정!$B$9^(A16-1),0)</f>
        <v>87</v>
      </c>
      <c r="C16" s="11" t="n">
        <f aca="false">ROUND(가정!$B$10*가정!$B$11^(A16-1),0)</f>
        <v>17</v>
      </c>
      <c r="D16" s="11" t="n">
        <f aca="false">ROUNDUP(B16/C16,0)</f>
        <v>6</v>
      </c>
      <c r="E16" s="11" t="n">
        <f aca="false">SUM($D$3:D16)</f>
        <v>68</v>
      </c>
      <c r="F16" s="11" t="n">
        <f aca="false">D16*가정!$B$12</f>
        <v>60</v>
      </c>
      <c r="G16" s="11" t="n">
        <f aca="false">ROUND(SUM($F$3:F16)/60,1)</f>
        <v>11.3</v>
      </c>
      <c r="H16" s="11" t="n">
        <f aca="false">(A16-1)*가정!$B$6</f>
        <v>65</v>
      </c>
      <c r="I16" s="11" t="n">
        <f aca="false">ROUND(가정!$B$14+H16*가정!$B$16*가정!$B$15,0)</f>
        <v>49</v>
      </c>
      <c r="J16" s="11" t="n">
        <f aca="false">ROUND(가정!$B$19*가정!$B$20^(A16-1),0)</f>
        <v>92</v>
      </c>
      <c r="K16" s="11" t="n">
        <f aca="false">ROUND(가정!$B$21*가정!$B$22^(A16-1),1)</f>
        <v>13.6</v>
      </c>
      <c r="L16" s="11" t="n">
        <f aca="false">ROUND(가정!$B$17*I16^2/(I16+K16),1)</f>
        <v>46</v>
      </c>
      <c r="M16" s="11" t="n">
        <f aca="false">ROUNDUP(J16/L16,0)</f>
        <v>2</v>
      </c>
    </row>
    <row r="17" customFormat="false" ht="15" hidden="false" customHeight="false" outlineLevel="0" collapsed="false">
      <c r="A17" s="11" t="n">
        <v>15</v>
      </c>
      <c r="B17" s="11" t="n">
        <f aca="false">ROUND(가정!$B$8*가정!$B$9^(A17-1),0)</f>
        <v>98</v>
      </c>
      <c r="C17" s="11" t="n">
        <f aca="false">ROUND(가정!$B$10*가정!$B$11^(A17-1),0)</f>
        <v>19</v>
      </c>
      <c r="D17" s="11" t="n">
        <f aca="false">ROUNDUP(B17/C17,0)</f>
        <v>6</v>
      </c>
      <c r="E17" s="11" t="n">
        <f aca="false">SUM($D$3:D17)</f>
        <v>74</v>
      </c>
      <c r="F17" s="11" t="n">
        <f aca="false">D17*가정!$B$12</f>
        <v>60</v>
      </c>
      <c r="G17" s="11" t="n">
        <f aca="false">ROUND(SUM($F$3:F17)/60,1)</f>
        <v>12.3</v>
      </c>
      <c r="H17" s="11" t="n">
        <f aca="false">(A17-1)*가정!$B$6</f>
        <v>70</v>
      </c>
      <c r="I17" s="11" t="n">
        <f aca="false">ROUND(가정!$B$14+H17*가정!$B$16*가정!$B$15,0)</f>
        <v>52</v>
      </c>
      <c r="J17" s="11" t="n">
        <f aca="false">ROUND(가정!$B$19*가정!$B$20^(A17-1),0)</f>
        <v>100</v>
      </c>
      <c r="K17" s="11" t="n">
        <f aca="false">ROUND(가정!$B$21*가정!$B$22^(A17-1),1)</f>
        <v>14.7</v>
      </c>
      <c r="L17" s="11" t="n">
        <f aca="false">ROUND(가정!$B$17*I17^2/(I17+K17),1)</f>
        <v>48.6</v>
      </c>
      <c r="M17" s="11" t="n">
        <f aca="false">ROUNDUP(J17/L17,0)</f>
        <v>3</v>
      </c>
    </row>
    <row r="18" customFormat="false" ht="15" hidden="false" customHeight="false" outlineLevel="0" collapsed="false">
      <c r="A18" s="11" t="n">
        <v>16</v>
      </c>
      <c r="B18" s="11" t="n">
        <f aca="false">ROUND(가정!$B$8*가정!$B$9^(A18-1),0)</f>
        <v>109</v>
      </c>
      <c r="C18" s="11" t="n">
        <f aca="false">ROUND(가정!$B$10*가정!$B$11^(A18-1),0)</f>
        <v>21</v>
      </c>
      <c r="D18" s="11" t="n">
        <f aca="false">ROUNDUP(B18/C18,0)</f>
        <v>6</v>
      </c>
      <c r="E18" s="11" t="n">
        <f aca="false">SUM($D$3:D18)</f>
        <v>80</v>
      </c>
      <c r="F18" s="11" t="n">
        <f aca="false">D18*가정!$B$12</f>
        <v>60</v>
      </c>
      <c r="G18" s="11" t="n">
        <f aca="false">ROUND(SUM($F$3:F18)/60,1)</f>
        <v>13.3</v>
      </c>
      <c r="H18" s="11" t="n">
        <f aca="false">(A18-1)*가정!$B$6</f>
        <v>75</v>
      </c>
      <c r="I18" s="11" t="n">
        <f aca="false">ROUND(가정!$B$14+H18*가정!$B$16*가정!$B$15,0)</f>
        <v>55</v>
      </c>
      <c r="J18" s="11" t="n">
        <f aca="false">ROUND(가정!$B$19*가정!$B$20^(A18-1),0)</f>
        <v>109</v>
      </c>
      <c r="K18" s="11" t="n">
        <f aca="false">ROUND(가정!$B$21*가정!$B$22^(A18-1),1)</f>
        <v>15.9</v>
      </c>
      <c r="L18" s="11" t="n">
        <f aca="false">ROUND(가정!$B$17*I18^2/(I18+K18),1)</f>
        <v>51.2</v>
      </c>
      <c r="M18" s="11" t="n">
        <f aca="false">ROUNDUP(J18/L18,0)</f>
        <v>3</v>
      </c>
    </row>
    <row r="19" customFormat="false" ht="15" hidden="false" customHeight="false" outlineLevel="0" collapsed="false">
      <c r="A19" s="11" t="n">
        <v>17</v>
      </c>
      <c r="B19" s="11" t="n">
        <f aca="false">ROUND(가정!$B$8*가정!$B$9^(A19-1),0)</f>
        <v>123</v>
      </c>
      <c r="C19" s="11" t="n">
        <f aca="false">ROUND(가정!$B$10*가정!$B$11^(A19-1),0)</f>
        <v>23</v>
      </c>
      <c r="D19" s="11" t="n">
        <f aca="false">ROUNDUP(B19/C19,0)</f>
        <v>6</v>
      </c>
      <c r="E19" s="11" t="n">
        <f aca="false">SUM($D$3:D19)</f>
        <v>86</v>
      </c>
      <c r="F19" s="11" t="n">
        <f aca="false">D19*가정!$B$12</f>
        <v>60</v>
      </c>
      <c r="G19" s="11" t="n">
        <f aca="false">ROUND(SUM($F$3:F19)/60,1)</f>
        <v>14.3</v>
      </c>
      <c r="H19" s="11" t="n">
        <f aca="false">(A19-1)*가정!$B$6</f>
        <v>80</v>
      </c>
      <c r="I19" s="11" t="n">
        <f aca="false">ROUND(가정!$B$14+H19*가정!$B$16*가정!$B$15,0)</f>
        <v>58</v>
      </c>
      <c r="J19" s="11" t="n">
        <f aca="false">ROUND(가정!$B$19*가정!$B$20^(A19-1),0)</f>
        <v>119</v>
      </c>
      <c r="K19" s="11" t="n">
        <f aca="false">ROUND(가정!$B$21*가정!$B$22^(A19-1),1)</f>
        <v>17.1</v>
      </c>
      <c r="L19" s="11" t="n">
        <f aca="false">ROUND(가정!$B$17*I19^2/(I19+K19),1)</f>
        <v>53.8</v>
      </c>
      <c r="M19" s="11" t="n">
        <f aca="false">ROUNDUP(J19/L19,0)</f>
        <v>3</v>
      </c>
    </row>
    <row r="20" customFormat="false" ht="15" hidden="false" customHeight="false" outlineLevel="0" collapsed="false">
      <c r="A20" s="11" t="n">
        <v>18</v>
      </c>
      <c r="B20" s="11" t="n">
        <f aca="false">ROUND(가정!$B$8*가정!$B$9^(A20-1),0)</f>
        <v>137</v>
      </c>
      <c r="C20" s="11" t="n">
        <f aca="false">ROUND(가정!$B$10*가정!$B$11^(A20-1),0)</f>
        <v>25</v>
      </c>
      <c r="D20" s="11" t="n">
        <f aca="false">ROUNDUP(B20/C20,0)</f>
        <v>6</v>
      </c>
      <c r="E20" s="11" t="n">
        <f aca="false">SUM($D$3:D20)</f>
        <v>92</v>
      </c>
      <c r="F20" s="11" t="n">
        <f aca="false">D20*가정!$B$12</f>
        <v>60</v>
      </c>
      <c r="G20" s="11" t="n">
        <f aca="false">ROUND(SUM($F$3:F20)/60,1)</f>
        <v>15.3</v>
      </c>
      <c r="H20" s="11" t="n">
        <f aca="false">(A20-1)*가정!$B$6</f>
        <v>85</v>
      </c>
      <c r="I20" s="11" t="n">
        <f aca="false">ROUND(가정!$B$14+H20*가정!$B$16*가정!$B$15,0)</f>
        <v>61</v>
      </c>
      <c r="J20" s="11" t="n">
        <f aca="false">ROUND(가정!$B$19*가정!$B$20^(A20-1),0)</f>
        <v>130</v>
      </c>
      <c r="K20" s="11" t="n">
        <f aca="false">ROUND(가정!$B$21*가정!$B$22^(A20-1),1)</f>
        <v>18.5</v>
      </c>
      <c r="L20" s="11" t="n">
        <f aca="false">ROUND(가정!$B$17*I20^2/(I20+K20),1)</f>
        <v>56.2</v>
      </c>
      <c r="M20" s="11" t="n">
        <f aca="false">ROUNDUP(J20/L20,0)</f>
        <v>3</v>
      </c>
    </row>
    <row r="21" customFormat="false" ht="15" hidden="false" customHeight="false" outlineLevel="0" collapsed="false">
      <c r="A21" s="11" t="n">
        <v>19</v>
      </c>
      <c r="B21" s="11" t="n">
        <f aca="false">ROUND(가정!$B$8*가정!$B$9^(A21-1),0)</f>
        <v>154</v>
      </c>
      <c r="C21" s="11" t="n">
        <f aca="false">ROUND(가정!$B$10*가정!$B$11^(A21-1),0)</f>
        <v>28</v>
      </c>
      <c r="D21" s="11" t="n">
        <f aca="false">ROUNDUP(B21/C21,0)</f>
        <v>6</v>
      </c>
      <c r="E21" s="11" t="n">
        <f aca="false">SUM($D$3:D21)</f>
        <v>98</v>
      </c>
      <c r="F21" s="11" t="n">
        <f aca="false">D21*가정!$B$12</f>
        <v>60</v>
      </c>
      <c r="G21" s="11" t="n">
        <f aca="false">ROUND(SUM($F$3:F21)/60,1)</f>
        <v>16.3</v>
      </c>
      <c r="H21" s="11" t="n">
        <f aca="false">(A21-1)*가정!$B$6</f>
        <v>90</v>
      </c>
      <c r="I21" s="11" t="n">
        <f aca="false">ROUND(가정!$B$14+H21*가정!$B$16*가정!$B$15,0)</f>
        <v>64</v>
      </c>
      <c r="J21" s="11" t="n">
        <f aca="false">ROUND(가정!$B$19*가정!$B$20^(A21-1),0)</f>
        <v>142</v>
      </c>
      <c r="K21" s="11" t="n">
        <f aca="false">ROUND(가정!$B$21*가정!$B$22^(A21-1),1)</f>
        <v>20</v>
      </c>
      <c r="L21" s="11" t="n">
        <f aca="false">ROUND(가정!$B$17*I21^2/(I21+K21),1)</f>
        <v>58.5</v>
      </c>
      <c r="M21" s="11" t="n">
        <f aca="false">ROUNDUP(J21/L21,0)</f>
        <v>3</v>
      </c>
    </row>
    <row r="22" customFormat="false" ht="15" hidden="false" customHeight="false" outlineLevel="0" collapsed="false">
      <c r="A22" s="11" t="n">
        <v>20</v>
      </c>
      <c r="B22" s="11" t="n">
        <f aca="false">ROUND(가정!$B$8*가정!$B$9^(A22-1),0)</f>
        <v>172</v>
      </c>
      <c r="C22" s="11" t="n">
        <f aca="false">ROUND(가정!$B$10*가정!$B$11^(A22-1),0)</f>
        <v>31</v>
      </c>
      <c r="D22" s="11" t="n">
        <f aca="false">ROUNDUP(B22/C22,0)</f>
        <v>6</v>
      </c>
      <c r="E22" s="11" t="n">
        <f aca="false">SUM($D$3:D22)</f>
        <v>104</v>
      </c>
      <c r="F22" s="11" t="n">
        <f aca="false">D22*가정!$B$12</f>
        <v>60</v>
      </c>
      <c r="G22" s="11" t="n">
        <f aca="false">ROUND(SUM($F$3:F22)/60,1)</f>
        <v>17.3</v>
      </c>
      <c r="H22" s="11" t="n">
        <f aca="false">(A22-1)*가정!$B$6</f>
        <v>95</v>
      </c>
      <c r="I22" s="11" t="n">
        <f aca="false">ROUND(가정!$B$14+H22*가정!$B$16*가정!$B$15,0)</f>
        <v>67</v>
      </c>
      <c r="J22" s="11" t="n">
        <f aca="false">ROUND(가정!$B$19*가정!$B$20^(A22-1),0)</f>
        <v>154</v>
      </c>
      <c r="K22" s="11" t="n">
        <f aca="false">ROUND(가정!$B$21*가정!$B$22^(A22-1),1)</f>
        <v>21.6</v>
      </c>
      <c r="L22" s="11" t="n">
        <f aca="false">ROUND(가정!$B$17*I22^2/(I22+K22),1)</f>
        <v>60.8</v>
      </c>
      <c r="M22" s="11" t="n">
        <f aca="false">ROUNDUP(J22/L22,0)</f>
        <v>3</v>
      </c>
    </row>
    <row r="23" customFormat="false" ht="15" hidden="false" customHeight="false" outlineLevel="0" collapsed="false">
      <c r="A23" s="11" t="n">
        <v>21</v>
      </c>
      <c r="B23" s="11" t="n">
        <f aca="false">ROUND(가정!$B$8*가정!$B$9^(A23-1),0)</f>
        <v>193</v>
      </c>
      <c r="C23" s="11" t="n">
        <f aca="false">ROUND(가정!$B$10*가정!$B$11^(A23-1),0)</f>
        <v>34</v>
      </c>
      <c r="D23" s="11" t="n">
        <f aca="false">ROUNDUP(B23/C23,0)</f>
        <v>6</v>
      </c>
      <c r="E23" s="11" t="n">
        <f aca="false">SUM($D$3:D23)</f>
        <v>110</v>
      </c>
      <c r="F23" s="11" t="n">
        <f aca="false">D23*가정!$B$12</f>
        <v>60</v>
      </c>
      <c r="G23" s="11" t="n">
        <f aca="false">ROUND(SUM($F$3:F23)/60,1)</f>
        <v>18.3</v>
      </c>
      <c r="H23" s="11" t="n">
        <f aca="false">(A23-1)*가정!$B$6</f>
        <v>100</v>
      </c>
      <c r="I23" s="11" t="n">
        <f aca="false">ROUND(가정!$B$14+H23*가정!$B$16*가정!$B$15,0)</f>
        <v>70</v>
      </c>
      <c r="J23" s="11" t="n">
        <f aca="false">ROUND(가정!$B$19*가정!$B$20^(A23-1),0)</f>
        <v>168</v>
      </c>
      <c r="K23" s="11" t="n">
        <f aca="false">ROUND(가정!$B$21*가정!$B$22^(A23-1),1)</f>
        <v>23.3</v>
      </c>
      <c r="L23" s="11" t="n">
        <f aca="false">ROUND(가정!$B$17*I23^2/(I23+K23),1)</f>
        <v>63</v>
      </c>
      <c r="M23" s="11" t="n">
        <f aca="false">ROUNDUP(J23/L23,0)</f>
        <v>3</v>
      </c>
    </row>
    <row r="24" customFormat="false" ht="15" hidden="false" customHeight="false" outlineLevel="0" collapsed="false">
      <c r="A24" s="11" t="n">
        <v>22</v>
      </c>
      <c r="B24" s="11" t="n">
        <f aca="false">ROUND(가정!$B$8*가정!$B$9^(A24-1),0)</f>
        <v>216</v>
      </c>
      <c r="C24" s="11" t="n">
        <f aca="false">ROUND(가정!$B$10*가정!$B$11^(A24-1),0)</f>
        <v>37</v>
      </c>
      <c r="D24" s="11" t="n">
        <f aca="false">ROUNDUP(B24/C24,0)</f>
        <v>6</v>
      </c>
      <c r="E24" s="11" t="n">
        <f aca="false">SUM($D$3:D24)</f>
        <v>116</v>
      </c>
      <c r="F24" s="11" t="n">
        <f aca="false">D24*가정!$B$12</f>
        <v>60</v>
      </c>
      <c r="G24" s="11" t="n">
        <f aca="false">ROUND(SUM($F$3:F24)/60,1)</f>
        <v>19.3</v>
      </c>
      <c r="H24" s="11" t="n">
        <f aca="false">(A24-1)*가정!$B$6</f>
        <v>105</v>
      </c>
      <c r="I24" s="11" t="n">
        <f aca="false">ROUND(가정!$B$14+H24*가정!$B$16*가정!$B$15,0)</f>
        <v>73</v>
      </c>
      <c r="J24" s="11" t="n">
        <f aca="false">ROUND(가정!$B$19*가정!$B$20^(A24-1),0)</f>
        <v>183</v>
      </c>
      <c r="K24" s="11" t="n">
        <f aca="false">ROUND(가정!$B$21*가정!$B$22^(A24-1),1)</f>
        <v>25.2</v>
      </c>
      <c r="L24" s="11" t="n">
        <f aca="false">ROUND(가정!$B$17*I24^2/(I24+K24),1)</f>
        <v>65.1</v>
      </c>
      <c r="M24" s="11" t="n">
        <f aca="false">ROUNDUP(J24/L24,0)</f>
        <v>3</v>
      </c>
    </row>
    <row r="25" customFormat="false" ht="15" hidden="false" customHeight="false" outlineLevel="0" collapsed="false">
      <c r="A25" s="11" t="n">
        <v>23</v>
      </c>
      <c r="B25" s="11" t="n">
        <f aca="false">ROUND(가정!$B$8*가정!$B$9^(A25-1),0)</f>
        <v>242</v>
      </c>
      <c r="C25" s="11" t="n">
        <f aca="false">ROUND(가정!$B$10*가정!$B$11^(A25-1),0)</f>
        <v>41</v>
      </c>
      <c r="D25" s="11" t="n">
        <f aca="false">ROUNDUP(B25/C25,0)</f>
        <v>6</v>
      </c>
      <c r="E25" s="11" t="n">
        <f aca="false">SUM($D$3:D25)</f>
        <v>122</v>
      </c>
      <c r="F25" s="11" t="n">
        <f aca="false">D25*가정!$B$12</f>
        <v>60</v>
      </c>
      <c r="G25" s="11" t="n">
        <f aca="false">ROUND(SUM($F$3:F25)/60,1)</f>
        <v>20.3</v>
      </c>
      <c r="H25" s="11" t="n">
        <f aca="false">(A25-1)*가정!$B$6</f>
        <v>110</v>
      </c>
      <c r="I25" s="11" t="n">
        <f aca="false">ROUND(가정!$B$14+H25*가정!$B$16*가정!$B$15,0)</f>
        <v>76</v>
      </c>
      <c r="J25" s="11" t="n">
        <f aca="false">ROUND(가정!$B$19*가정!$B$20^(A25-1),0)</f>
        <v>200</v>
      </c>
      <c r="K25" s="11" t="n">
        <f aca="false">ROUND(가정!$B$21*가정!$B$22^(A25-1),1)</f>
        <v>27.2</v>
      </c>
      <c r="L25" s="11" t="n">
        <f aca="false">ROUND(가정!$B$17*I25^2/(I25+K25),1)</f>
        <v>67.2</v>
      </c>
      <c r="M25" s="11" t="n">
        <f aca="false">ROUNDUP(J25/L25,0)</f>
        <v>3</v>
      </c>
    </row>
    <row r="26" customFormat="false" ht="15" hidden="false" customHeight="false" outlineLevel="0" collapsed="false">
      <c r="A26" s="11" t="n">
        <v>24</v>
      </c>
      <c r="B26" s="11" t="n">
        <f aca="false">ROUND(가정!$B$8*가정!$B$9^(A26-1),0)</f>
        <v>271</v>
      </c>
      <c r="C26" s="11" t="n">
        <f aca="false">ROUND(가정!$B$10*가정!$B$11^(A26-1),0)</f>
        <v>45</v>
      </c>
      <c r="D26" s="11" t="n">
        <f aca="false">ROUNDUP(B26/C26,0)</f>
        <v>7</v>
      </c>
      <c r="E26" s="11" t="n">
        <f aca="false">SUM($D$3:D26)</f>
        <v>129</v>
      </c>
      <c r="F26" s="11" t="n">
        <f aca="false">D26*가정!$B$12</f>
        <v>70</v>
      </c>
      <c r="G26" s="11" t="n">
        <f aca="false">ROUND(SUM($F$3:F26)/60,1)</f>
        <v>21.5</v>
      </c>
      <c r="H26" s="11" t="n">
        <f aca="false">(A26-1)*가정!$B$6</f>
        <v>115</v>
      </c>
      <c r="I26" s="11" t="n">
        <f aca="false">ROUND(가정!$B$14+H26*가정!$B$16*가정!$B$15,0)</f>
        <v>79</v>
      </c>
      <c r="J26" s="11" t="n">
        <f aca="false">ROUND(가정!$B$19*가정!$B$20^(A26-1),0)</f>
        <v>218</v>
      </c>
      <c r="K26" s="11" t="n">
        <f aca="false">ROUND(가정!$B$21*가정!$B$22^(A26-1),1)</f>
        <v>29.4</v>
      </c>
      <c r="L26" s="11" t="n">
        <f aca="false">ROUND(가정!$B$17*I26^2/(I26+K26),1)</f>
        <v>69.1</v>
      </c>
      <c r="M26" s="11" t="n">
        <f aca="false">ROUNDUP(J26/L26,0)</f>
        <v>4</v>
      </c>
    </row>
    <row r="27" customFormat="false" ht="15" hidden="false" customHeight="false" outlineLevel="0" collapsed="false">
      <c r="A27" s="11" t="n">
        <v>25</v>
      </c>
      <c r="B27" s="11" t="n">
        <f aca="false">ROUND(가정!$B$8*가정!$B$9^(A27-1),0)</f>
        <v>304</v>
      </c>
      <c r="C27" s="11" t="n">
        <f aca="false">ROUND(가정!$B$10*가정!$B$11^(A27-1),0)</f>
        <v>49</v>
      </c>
      <c r="D27" s="11" t="n">
        <f aca="false">ROUNDUP(B27/C27,0)</f>
        <v>7</v>
      </c>
      <c r="E27" s="11" t="n">
        <f aca="false">SUM($D$3:D27)</f>
        <v>136</v>
      </c>
      <c r="F27" s="11" t="n">
        <f aca="false">D27*가정!$B$12</f>
        <v>70</v>
      </c>
      <c r="G27" s="11" t="n">
        <f aca="false">ROUND(SUM($F$3:F27)/60,1)</f>
        <v>22.7</v>
      </c>
      <c r="H27" s="11" t="n">
        <f aca="false">(A27-1)*가정!$B$6</f>
        <v>120</v>
      </c>
      <c r="I27" s="11" t="n">
        <f aca="false">ROUND(가정!$B$14+H27*가정!$B$16*가정!$B$15,0)</f>
        <v>82</v>
      </c>
      <c r="J27" s="11" t="n">
        <f aca="false">ROUND(가정!$B$19*가정!$B$20^(A27-1),0)</f>
        <v>237</v>
      </c>
      <c r="K27" s="11" t="n">
        <f aca="false">ROUND(가정!$B$21*가정!$B$22^(A27-1),1)</f>
        <v>31.7</v>
      </c>
      <c r="L27" s="11" t="n">
        <f aca="false">ROUND(가정!$B$17*I27^2/(I27+K27),1)</f>
        <v>71</v>
      </c>
      <c r="M27" s="11" t="n">
        <f aca="false">ROUNDUP(J27/L27,0)</f>
        <v>4</v>
      </c>
    </row>
    <row r="28" customFormat="false" ht="15" hidden="false" customHeight="false" outlineLevel="0" collapsed="false">
      <c r="A28" s="11" t="n">
        <v>26</v>
      </c>
      <c r="B28" s="11" t="n">
        <f aca="false">ROUND(가정!$B$8*가정!$B$9^(A28-1),0)</f>
        <v>340</v>
      </c>
      <c r="C28" s="11" t="n">
        <f aca="false">ROUND(가정!$B$10*가정!$B$11^(A28-1),0)</f>
        <v>54</v>
      </c>
      <c r="D28" s="11" t="n">
        <f aca="false">ROUNDUP(B28/C28,0)</f>
        <v>7</v>
      </c>
      <c r="E28" s="11" t="n">
        <f aca="false">SUM($D$3:D28)</f>
        <v>143</v>
      </c>
      <c r="F28" s="11" t="n">
        <f aca="false">D28*가정!$B$12</f>
        <v>70</v>
      </c>
      <c r="G28" s="11" t="n">
        <f aca="false">ROUND(SUM($F$3:F28)/60,1)</f>
        <v>23.8</v>
      </c>
      <c r="H28" s="11" t="n">
        <f aca="false">(A28-1)*가정!$B$6</f>
        <v>125</v>
      </c>
      <c r="I28" s="11" t="n">
        <f aca="false">ROUND(가정!$B$14+H28*가정!$B$16*가정!$B$15,0)</f>
        <v>85</v>
      </c>
      <c r="J28" s="11" t="n">
        <f aca="false">ROUND(가정!$B$19*가정!$B$20^(A28-1),0)</f>
        <v>259</v>
      </c>
      <c r="K28" s="11" t="n">
        <f aca="false">ROUND(가정!$B$21*가정!$B$22^(A28-1),1)</f>
        <v>34.2</v>
      </c>
      <c r="L28" s="11" t="n">
        <f aca="false">ROUND(가정!$B$17*I28^2/(I28+K28),1)</f>
        <v>72.7</v>
      </c>
      <c r="M28" s="11" t="n">
        <f aca="false">ROUNDUP(J28/L28,0)</f>
        <v>4</v>
      </c>
    </row>
    <row r="29" customFormat="false" ht="15" hidden="false" customHeight="false" outlineLevel="0" collapsed="false">
      <c r="A29" s="11" t="n">
        <v>27</v>
      </c>
      <c r="B29" s="11" t="n">
        <f aca="false">ROUND(가정!$B$8*가정!$B$9^(A29-1),0)</f>
        <v>381</v>
      </c>
      <c r="C29" s="11" t="n">
        <f aca="false">ROUND(가정!$B$10*가정!$B$11^(A29-1),0)</f>
        <v>60</v>
      </c>
      <c r="D29" s="11" t="n">
        <f aca="false">ROUNDUP(B29/C29,0)</f>
        <v>7</v>
      </c>
      <c r="E29" s="11" t="n">
        <f aca="false">SUM($D$3:D29)</f>
        <v>150</v>
      </c>
      <c r="F29" s="11" t="n">
        <f aca="false">D29*가정!$B$12</f>
        <v>70</v>
      </c>
      <c r="G29" s="11" t="n">
        <f aca="false">ROUND(SUM($F$3:F29)/60,1)</f>
        <v>25</v>
      </c>
      <c r="H29" s="11" t="n">
        <f aca="false">(A29-1)*가정!$B$6</f>
        <v>130</v>
      </c>
      <c r="I29" s="11" t="n">
        <f aca="false">ROUND(가정!$B$14+H29*가정!$B$16*가정!$B$15,0)</f>
        <v>88</v>
      </c>
      <c r="J29" s="11" t="n">
        <f aca="false">ROUND(가정!$B$19*가정!$B$20^(A29-1),0)</f>
        <v>282</v>
      </c>
      <c r="K29" s="11" t="n">
        <f aca="false">ROUND(가정!$B$21*가정!$B$22^(A29-1),1)</f>
        <v>37</v>
      </c>
      <c r="L29" s="11" t="n">
        <f aca="false">ROUND(가정!$B$17*I29^2/(I29+K29),1)</f>
        <v>74.3</v>
      </c>
      <c r="M29" s="11" t="n">
        <f aca="false">ROUNDUP(J29/L29,0)</f>
        <v>4</v>
      </c>
    </row>
    <row r="30" customFormat="false" ht="15" hidden="false" customHeight="false" outlineLevel="0" collapsed="false">
      <c r="A30" s="11" t="n">
        <v>28</v>
      </c>
      <c r="B30" s="11" t="n">
        <f aca="false">ROUND(가정!$B$8*가정!$B$9^(A30-1),0)</f>
        <v>426</v>
      </c>
      <c r="C30" s="11" t="n">
        <f aca="false">ROUND(가정!$B$10*가정!$B$11^(A30-1),0)</f>
        <v>66</v>
      </c>
      <c r="D30" s="11" t="n">
        <f aca="false">ROUNDUP(B30/C30,0)</f>
        <v>7</v>
      </c>
      <c r="E30" s="11" t="n">
        <f aca="false">SUM($D$3:D30)</f>
        <v>157</v>
      </c>
      <c r="F30" s="11" t="n">
        <f aca="false">D30*가정!$B$12</f>
        <v>70</v>
      </c>
      <c r="G30" s="11" t="n">
        <f aca="false">ROUND(SUM($F$3:F30)/60,1)</f>
        <v>26.2</v>
      </c>
      <c r="H30" s="11" t="n">
        <f aca="false">(A30-1)*가정!$B$6</f>
        <v>135</v>
      </c>
      <c r="I30" s="11" t="n">
        <f aca="false">ROUND(가정!$B$14+H30*가정!$B$16*가정!$B$15,0)</f>
        <v>91</v>
      </c>
      <c r="J30" s="11" t="n">
        <f aca="false">ROUND(가정!$B$19*가정!$B$20^(A30-1),0)</f>
        <v>307</v>
      </c>
      <c r="K30" s="11" t="n">
        <f aca="false">ROUND(가정!$B$21*가정!$B$22^(A30-1),1)</f>
        <v>39.9</v>
      </c>
      <c r="L30" s="11" t="n">
        <f aca="false">ROUND(가정!$B$17*I30^2/(I30+K30),1)</f>
        <v>75.9</v>
      </c>
      <c r="M30" s="11" t="n">
        <f aca="false">ROUNDUP(J30/L30,0)</f>
        <v>5</v>
      </c>
    </row>
    <row r="31" customFormat="false" ht="15" hidden="false" customHeight="false" outlineLevel="0" collapsed="false">
      <c r="A31" s="11" t="n">
        <v>29</v>
      </c>
      <c r="B31" s="11" t="n">
        <f aca="false">ROUND(가정!$B$8*가정!$B$9^(A31-1),0)</f>
        <v>478</v>
      </c>
      <c r="C31" s="11" t="n">
        <f aca="false">ROUND(가정!$B$10*가정!$B$11^(A31-1),0)</f>
        <v>72</v>
      </c>
      <c r="D31" s="11" t="n">
        <f aca="false">ROUNDUP(B31/C31,0)</f>
        <v>7</v>
      </c>
      <c r="E31" s="11" t="n">
        <f aca="false">SUM($D$3:D31)</f>
        <v>164</v>
      </c>
      <c r="F31" s="11" t="n">
        <f aca="false">D31*가정!$B$12</f>
        <v>70</v>
      </c>
      <c r="G31" s="11" t="n">
        <f aca="false">ROUND(SUM($F$3:F31)/60,1)</f>
        <v>27.3</v>
      </c>
      <c r="H31" s="11" t="n">
        <f aca="false">(A31-1)*가정!$B$6</f>
        <v>140</v>
      </c>
      <c r="I31" s="11" t="n">
        <f aca="false">ROUND(가정!$B$14+H31*가정!$B$16*가정!$B$15,0)</f>
        <v>94</v>
      </c>
      <c r="J31" s="11" t="n">
        <f aca="false">ROUND(가정!$B$19*가정!$B$20^(A31-1),0)</f>
        <v>335</v>
      </c>
      <c r="K31" s="11" t="n">
        <f aca="false">ROUND(가정!$B$21*가정!$B$22^(A31-1),1)</f>
        <v>43.1</v>
      </c>
      <c r="L31" s="11" t="n">
        <f aca="false">ROUND(가정!$B$17*I31^2/(I31+K31),1)</f>
        <v>77.3</v>
      </c>
      <c r="M31" s="11" t="n">
        <f aca="false">ROUNDUP(J31/L31,0)</f>
        <v>5</v>
      </c>
    </row>
    <row r="32" customFormat="false" ht="15" hidden="false" customHeight="false" outlineLevel="0" collapsed="false">
      <c r="A32" s="12" t="n">
        <v>30</v>
      </c>
      <c r="B32" s="12" t="n">
        <f aca="false">ROUND(가정!$B$8*가정!$B$9^(A32-1),0)</f>
        <v>535</v>
      </c>
      <c r="C32" s="12" t="n">
        <f aca="false">ROUND(가정!$B$10*가정!$B$11^(A32-1),0)</f>
        <v>79</v>
      </c>
      <c r="D32" s="12" t="n">
        <f aca="false">ROUNDUP(B32/C32,0)</f>
        <v>7</v>
      </c>
      <c r="E32" s="12" t="n">
        <f aca="false">SUM($D$3:D32)</f>
        <v>171</v>
      </c>
      <c r="F32" s="12" t="n">
        <f aca="false">D32*가정!$B$12</f>
        <v>70</v>
      </c>
      <c r="G32" s="12" t="n">
        <f aca="false">ROUND(SUM($F$3:F32)/60,1)</f>
        <v>28.5</v>
      </c>
      <c r="H32" s="12" t="n">
        <f aca="false">(A32-1)*가정!$B$6</f>
        <v>145</v>
      </c>
      <c r="I32" s="12" t="n">
        <f aca="false">ROUND(가정!$B$14+H32*가정!$B$16*가정!$B$15,0)</f>
        <v>97</v>
      </c>
      <c r="J32" s="12" t="n">
        <f aca="false">ROUND(가정!$B$19*가정!$B$20^(A32-1),0)</f>
        <v>365</v>
      </c>
      <c r="K32" s="12" t="n">
        <f aca="false">ROUND(가정!$B$21*가정!$B$22^(A32-1),1)</f>
        <v>46.6</v>
      </c>
      <c r="L32" s="12" t="n">
        <f aca="false">ROUND(가정!$B$17*I32^2/(I32+K32),1)</f>
        <v>78.6</v>
      </c>
      <c r="M32" s="12" t="n">
        <f aca="false">ROUNDUP(J32/L32,0)</f>
        <v>5</v>
      </c>
    </row>
    <row r="33" customFormat="false" ht="15" hidden="false" customHeight="false" outlineLevel="0" collapsed="false">
      <c r="A33" s="11" t="n">
        <v>31</v>
      </c>
      <c r="B33" s="11" t="n">
        <f aca="false">ROUND(가정!$B$8*가정!$B$9^(A33-1),0)</f>
        <v>599</v>
      </c>
      <c r="C33" s="11" t="n">
        <f aca="false">ROUND(가정!$B$10*가정!$B$11^(A33-1),0)</f>
        <v>87</v>
      </c>
      <c r="D33" s="11" t="n">
        <f aca="false">ROUNDUP(B33/C33,0)</f>
        <v>7</v>
      </c>
      <c r="E33" s="11" t="n">
        <f aca="false">SUM($D$3:D33)</f>
        <v>178</v>
      </c>
      <c r="F33" s="11" t="n">
        <f aca="false">D33*가정!$B$12</f>
        <v>70</v>
      </c>
      <c r="G33" s="11" t="n">
        <f aca="false">ROUND(SUM($F$3:F33)/60,1)</f>
        <v>29.7</v>
      </c>
      <c r="H33" s="11" t="n">
        <f aca="false">(A33-1)*가정!$B$6</f>
        <v>150</v>
      </c>
      <c r="I33" s="11" t="n">
        <f aca="false">ROUND(가정!$B$14+H33*가정!$B$16*가정!$B$15,0)</f>
        <v>100</v>
      </c>
      <c r="J33" s="11" t="n">
        <f aca="false">ROUND(가정!$B$19*가정!$B$20^(A33-1),0)</f>
        <v>398</v>
      </c>
      <c r="K33" s="11" t="n">
        <f aca="false">ROUND(가정!$B$21*가정!$B$22^(A33-1),1)</f>
        <v>50.3</v>
      </c>
      <c r="L33" s="11" t="n">
        <f aca="false">ROUND(가정!$B$17*I33^2/(I33+K33),1)</f>
        <v>79.8</v>
      </c>
      <c r="M33" s="11" t="n">
        <f aca="false">ROUNDUP(J33/L33,0)</f>
        <v>5</v>
      </c>
    </row>
    <row r="34" customFormat="false" ht="15" hidden="false" customHeight="false" outlineLevel="0" collapsed="false">
      <c r="A34" s="11" t="n">
        <v>32</v>
      </c>
      <c r="B34" s="11" t="n">
        <f aca="false">ROUND(가정!$B$8*가정!$B$9^(A34-1),0)</f>
        <v>671</v>
      </c>
      <c r="C34" s="11" t="n">
        <f aca="false">ROUND(가정!$B$10*가정!$B$11^(A34-1),0)</f>
        <v>96</v>
      </c>
      <c r="D34" s="11" t="n">
        <f aca="false">ROUNDUP(B34/C34,0)</f>
        <v>7</v>
      </c>
      <c r="E34" s="11" t="n">
        <f aca="false">SUM($D$3:D34)</f>
        <v>185</v>
      </c>
      <c r="F34" s="11" t="n">
        <f aca="false">D34*가정!$B$12</f>
        <v>70</v>
      </c>
      <c r="G34" s="11" t="n">
        <f aca="false">ROUND(SUM($F$3:F34)/60,1)</f>
        <v>30.8</v>
      </c>
      <c r="H34" s="11" t="n">
        <f aca="false">(A34-1)*가정!$B$6</f>
        <v>155</v>
      </c>
      <c r="I34" s="11" t="n">
        <f aca="false">ROUND(가정!$B$14+H34*가정!$B$16*가정!$B$15,0)</f>
        <v>103</v>
      </c>
      <c r="J34" s="11" t="n">
        <f aca="false">ROUND(가정!$B$19*가정!$B$20^(A34-1),0)</f>
        <v>434</v>
      </c>
      <c r="K34" s="11" t="n">
        <f aca="false">ROUND(가정!$B$21*가정!$B$22^(A34-1),1)</f>
        <v>54.3</v>
      </c>
      <c r="L34" s="11" t="n">
        <f aca="false">ROUND(가정!$B$17*I34^2/(I34+K34),1)</f>
        <v>80.9</v>
      </c>
      <c r="M34" s="11" t="n">
        <f aca="false">ROUNDUP(J34/L34,0)</f>
        <v>6</v>
      </c>
    </row>
    <row r="35" customFormat="false" ht="15" hidden="false" customHeight="false" outlineLevel="0" collapsed="false">
      <c r="A35" s="11" t="n">
        <v>33</v>
      </c>
      <c r="B35" s="11" t="n">
        <f aca="false">ROUND(가정!$B$8*가정!$B$9^(A35-1),0)</f>
        <v>752</v>
      </c>
      <c r="C35" s="11" t="n">
        <f aca="false">ROUND(가정!$B$10*가정!$B$11^(A35-1),0)</f>
        <v>106</v>
      </c>
      <c r="D35" s="11" t="n">
        <f aca="false">ROUNDUP(B35/C35,0)</f>
        <v>8</v>
      </c>
      <c r="E35" s="11" t="n">
        <f aca="false">SUM($D$3:D35)</f>
        <v>193</v>
      </c>
      <c r="F35" s="11" t="n">
        <f aca="false">D35*가정!$B$12</f>
        <v>80</v>
      </c>
      <c r="G35" s="11" t="n">
        <f aca="false">ROUND(SUM($F$3:F35)/60,1)</f>
        <v>32.2</v>
      </c>
      <c r="H35" s="11" t="n">
        <f aca="false">(A35-1)*가정!$B$6</f>
        <v>160</v>
      </c>
      <c r="I35" s="11" t="n">
        <f aca="false">ROUND(가정!$B$14+H35*가정!$B$16*가정!$B$15,0)</f>
        <v>106</v>
      </c>
      <c r="J35" s="11" t="n">
        <f aca="false">ROUND(가정!$B$19*가정!$B$20^(A35-1),0)</f>
        <v>473</v>
      </c>
      <c r="K35" s="11" t="n">
        <f aca="false">ROUND(가정!$B$21*가정!$B$22^(A35-1),1)</f>
        <v>58.7</v>
      </c>
      <c r="L35" s="11" t="n">
        <f aca="false">ROUND(가정!$B$17*I35^2/(I35+K35),1)</f>
        <v>81.9</v>
      </c>
      <c r="M35" s="11" t="n">
        <f aca="false">ROUNDUP(J35/L35,0)</f>
        <v>6</v>
      </c>
    </row>
    <row r="36" customFormat="false" ht="15" hidden="false" customHeight="false" outlineLevel="0" collapsed="false">
      <c r="A36" s="11" t="n">
        <v>34</v>
      </c>
      <c r="B36" s="11" t="n">
        <f aca="false">ROUND(가정!$B$8*가정!$B$9^(A36-1),0)</f>
        <v>842</v>
      </c>
      <c r="C36" s="11" t="n">
        <f aca="false">ROUND(가정!$B$10*가정!$B$11^(A36-1),0)</f>
        <v>116</v>
      </c>
      <c r="D36" s="11" t="n">
        <f aca="false">ROUNDUP(B36/C36,0)</f>
        <v>8</v>
      </c>
      <c r="E36" s="11" t="n">
        <f aca="false">SUM($D$3:D36)</f>
        <v>201</v>
      </c>
      <c r="F36" s="11" t="n">
        <f aca="false">D36*가정!$B$12</f>
        <v>80</v>
      </c>
      <c r="G36" s="11" t="n">
        <f aca="false">ROUND(SUM($F$3:F36)/60,1)</f>
        <v>33.5</v>
      </c>
      <c r="H36" s="11" t="n">
        <f aca="false">(A36-1)*가정!$B$6</f>
        <v>165</v>
      </c>
      <c r="I36" s="11" t="n">
        <f aca="false">ROUND(가정!$B$14+H36*가정!$B$16*가정!$B$15,0)</f>
        <v>109</v>
      </c>
      <c r="J36" s="11" t="n">
        <f aca="false">ROUND(가정!$B$19*가정!$B$20^(A36-1),0)</f>
        <v>515</v>
      </c>
      <c r="K36" s="11" t="n">
        <f aca="false">ROUND(가정!$B$21*가정!$B$22^(A36-1),1)</f>
        <v>63.4</v>
      </c>
      <c r="L36" s="11" t="n">
        <f aca="false">ROUND(가정!$B$17*I36^2/(I36+K36),1)</f>
        <v>82.7</v>
      </c>
      <c r="M36" s="11" t="n">
        <f aca="false">ROUNDUP(J36/L36,0)</f>
        <v>7</v>
      </c>
    </row>
    <row r="37" customFormat="false" ht="15" hidden="false" customHeight="false" outlineLevel="0" collapsed="false">
      <c r="A37" s="11" t="n">
        <v>35</v>
      </c>
      <c r="B37" s="11" t="n">
        <f aca="false">ROUND(가정!$B$8*가정!$B$9^(A37-1),0)</f>
        <v>943</v>
      </c>
      <c r="C37" s="11" t="n">
        <f aca="false">ROUND(가정!$B$10*가정!$B$11^(A37-1),0)</f>
        <v>128</v>
      </c>
      <c r="D37" s="11" t="n">
        <f aca="false">ROUNDUP(B37/C37,0)</f>
        <v>8</v>
      </c>
      <c r="E37" s="11" t="n">
        <f aca="false">SUM($D$3:D37)</f>
        <v>209</v>
      </c>
      <c r="F37" s="11" t="n">
        <f aca="false">D37*가정!$B$12</f>
        <v>80</v>
      </c>
      <c r="G37" s="11" t="n">
        <f aca="false">ROUND(SUM($F$3:F37)/60,1)</f>
        <v>34.8</v>
      </c>
      <c r="H37" s="11" t="n">
        <f aca="false">(A37-1)*가정!$B$6</f>
        <v>170</v>
      </c>
      <c r="I37" s="11" t="n">
        <f aca="false">ROUND(가정!$B$14+H37*가정!$B$16*가정!$B$15,0)</f>
        <v>112</v>
      </c>
      <c r="J37" s="11" t="n">
        <f aca="false">ROUND(가정!$B$19*가정!$B$20^(A37-1),0)</f>
        <v>562</v>
      </c>
      <c r="K37" s="11" t="n">
        <f aca="false">ROUND(가정!$B$21*가정!$B$22^(A37-1),1)</f>
        <v>68.5</v>
      </c>
      <c r="L37" s="11" t="n">
        <f aca="false">ROUND(가정!$B$17*I37^2/(I37+K37),1)</f>
        <v>83.4</v>
      </c>
      <c r="M37" s="11" t="n">
        <f aca="false">ROUNDUP(J37/L37,0)</f>
        <v>7</v>
      </c>
    </row>
    <row r="38" customFormat="false" ht="15" hidden="false" customHeight="false" outlineLevel="0" collapsed="false">
      <c r="A38" s="11" t="n">
        <v>36</v>
      </c>
      <c r="B38" s="11" t="n">
        <f aca="false">ROUND(가정!$B$8*가정!$B$9^(A38-1),0)</f>
        <v>1056</v>
      </c>
      <c r="C38" s="11" t="n">
        <f aca="false">ROUND(가정!$B$10*가정!$B$11^(A38-1),0)</f>
        <v>141</v>
      </c>
      <c r="D38" s="11" t="n">
        <f aca="false">ROUNDUP(B38/C38,0)</f>
        <v>8</v>
      </c>
      <c r="E38" s="11" t="n">
        <f aca="false">SUM($D$3:D38)</f>
        <v>217</v>
      </c>
      <c r="F38" s="11" t="n">
        <f aca="false">D38*가정!$B$12</f>
        <v>80</v>
      </c>
      <c r="G38" s="11" t="n">
        <f aca="false">ROUND(SUM($F$3:F38)/60,1)</f>
        <v>36.2</v>
      </c>
      <c r="H38" s="11" t="n">
        <f aca="false">(A38-1)*가정!$B$6</f>
        <v>175</v>
      </c>
      <c r="I38" s="11" t="n">
        <f aca="false">ROUND(가정!$B$14+H38*가정!$B$16*가정!$B$15,0)</f>
        <v>115</v>
      </c>
      <c r="J38" s="11" t="n">
        <f aca="false">ROUND(가정!$B$19*가정!$B$20^(A38-1),0)</f>
        <v>612</v>
      </c>
      <c r="K38" s="11" t="n">
        <f aca="false">ROUND(가정!$B$21*가정!$B$22^(A38-1),1)</f>
        <v>73.9</v>
      </c>
      <c r="L38" s="11" t="n">
        <f aca="false">ROUND(가정!$B$17*I38^2/(I38+K38),1)</f>
        <v>84</v>
      </c>
      <c r="M38" s="11" t="n">
        <f aca="false">ROUNDUP(J38/L38,0)</f>
        <v>8</v>
      </c>
    </row>
    <row r="39" customFormat="false" ht="15" hidden="false" customHeight="false" outlineLevel="0" collapsed="false">
      <c r="A39" s="11" t="n">
        <v>37</v>
      </c>
      <c r="B39" s="11" t="n">
        <f aca="false">ROUND(가정!$B$8*가정!$B$9^(A39-1),0)</f>
        <v>1183</v>
      </c>
      <c r="C39" s="11" t="n">
        <f aca="false">ROUND(가정!$B$10*가정!$B$11^(A39-1),0)</f>
        <v>155</v>
      </c>
      <c r="D39" s="11" t="n">
        <f aca="false">ROUNDUP(B39/C39,0)</f>
        <v>8</v>
      </c>
      <c r="E39" s="11" t="n">
        <f aca="false">SUM($D$3:D39)</f>
        <v>225</v>
      </c>
      <c r="F39" s="11" t="n">
        <f aca="false">D39*가정!$B$12</f>
        <v>80</v>
      </c>
      <c r="G39" s="11" t="n">
        <f aca="false">ROUND(SUM($F$3:F39)/60,1)</f>
        <v>37.5</v>
      </c>
      <c r="H39" s="11" t="n">
        <f aca="false">(A39-1)*가정!$B$6</f>
        <v>180</v>
      </c>
      <c r="I39" s="11" t="n">
        <f aca="false">ROUND(가정!$B$14+H39*가정!$B$16*가정!$B$15,0)</f>
        <v>118</v>
      </c>
      <c r="J39" s="11" t="n">
        <f aca="false">ROUND(가정!$B$19*가정!$B$20^(A39-1),0)</f>
        <v>668</v>
      </c>
      <c r="K39" s="11" t="n">
        <f aca="false">ROUND(가정!$B$21*가정!$B$22^(A39-1),1)</f>
        <v>79.8</v>
      </c>
      <c r="L39" s="11" t="n">
        <f aca="false">ROUND(가정!$B$17*I39^2/(I39+K39),1)</f>
        <v>84.5</v>
      </c>
      <c r="M39" s="11" t="n">
        <f aca="false">ROUNDUP(J39/L39,0)</f>
        <v>8</v>
      </c>
    </row>
    <row r="40" customFormat="false" ht="15" hidden="false" customHeight="false" outlineLevel="0" collapsed="false">
      <c r="A40" s="11" t="n">
        <v>38</v>
      </c>
      <c r="B40" s="11" t="n">
        <f aca="false">ROUND(가정!$B$8*가정!$B$9^(A40-1),0)</f>
        <v>1325</v>
      </c>
      <c r="C40" s="11" t="n">
        <f aca="false">ROUND(가정!$B$10*가정!$B$11^(A40-1),0)</f>
        <v>170</v>
      </c>
      <c r="D40" s="11" t="n">
        <f aca="false">ROUNDUP(B40/C40,0)</f>
        <v>8</v>
      </c>
      <c r="E40" s="11" t="n">
        <f aca="false">SUM($D$3:D40)</f>
        <v>233</v>
      </c>
      <c r="F40" s="11" t="n">
        <f aca="false">D40*가정!$B$12</f>
        <v>80</v>
      </c>
      <c r="G40" s="11" t="n">
        <f aca="false">ROUND(SUM($F$3:F40)/60,1)</f>
        <v>38.8</v>
      </c>
      <c r="H40" s="11" t="n">
        <f aca="false">(A40-1)*가정!$B$6</f>
        <v>185</v>
      </c>
      <c r="I40" s="11" t="n">
        <f aca="false">ROUND(가정!$B$14+H40*가정!$B$16*가정!$B$15,0)</f>
        <v>121</v>
      </c>
      <c r="J40" s="11" t="n">
        <f aca="false">ROUND(가정!$B$19*가정!$B$20^(A40-1),0)</f>
        <v>728</v>
      </c>
      <c r="K40" s="11" t="n">
        <f aca="false">ROUND(가정!$B$21*가정!$B$22^(A40-1),1)</f>
        <v>86.2</v>
      </c>
      <c r="L40" s="11" t="n">
        <f aca="false">ROUND(가정!$B$17*I40^2/(I40+K40),1)</f>
        <v>84.8</v>
      </c>
      <c r="M40" s="11" t="n">
        <f aca="false">ROUNDUP(J40/L40,0)</f>
        <v>9</v>
      </c>
    </row>
    <row r="41" customFormat="false" ht="15" hidden="false" customHeight="false" outlineLevel="0" collapsed="false">
      <c r="A41" s="11" t="n">
        <v>39</v>
      </c>
      <c r="B41" s="11" t="n">
        <f aca="false">ROUND(가정!$B$8*가정!$B$9^(A41-1),0)</f>
        <v>1484</v>
      </c>
      <c r="C41" s="11" t="n">
        <f aca="false">ROUND(가정!$B$10*가정!$B$11^(A41-1),0)</f>
        <v>187</v>
      </c>
      <c r="D41" s="11" t="n">
        <f aca="false">ROUNDUP(B41/C41,0)</f>
        <v>8</v>
      </c>
      <c r="E41" s="11" t="n">
        <f aca="false">SUM($D$3:D41)</f>
        <v>241</v>
      </c>
      <c r="F41" s="11" t="n">
        <f aca="false">D41*가정!$B$12</f>
        <v>80</v>
      </c>
      <c r="G41" s="11" t="n">
        <f aca="false">ROUND(SUM($F$3:F41)/60,1)</f>
        <v>40.2</v>
      </c>
      <c r="H41" s="11" t="n">
        <f aca="false">(A41-1)*가정!$B$6</f>
        <v>190</v>
      </c>
      <c r="I41" s="11" t="n">
        <f aca="false">ROUND(가정!$B$14+H41*가정!$B$16*가정!$B$15,0)</f>
        <v>124</v>
      </c>
      <c r="J41" s="11" t="n">
        <f aca="false">ROUND(가정!$B$19*가정!$B$20^(A41-1),0)</f>
        <v>793</v>
      </c>
      <c r="K41" s="11" t="n">
        <f aca="false">ROUND(가정!$B$21*가정!$B$22^(A41-1),1)</f>
        <v>93.1</v>
      </c>
      <c r="L41" s="11" t="n">
        <f aca="false">ROUND(가정!$B$17*I41^2/(I41+K41),1)</f>
        <v>85</v>
      </c>
      <c r="M41" s="11" t="n">
        <f aca="false">ROUNDUP(J41/L41,0)</f>
        <v>10</v>
      </c>
    </row>
    <row r="42" customFormat="false" ht="15" hidden="false" customHeight="false" outlineLevel="0" collapsed="false">
      <c r="A42" s="11" t="n">
        <v>40</v>
      </c>
      <c r="B42" s="11" t="n">
        <f aca="false">ROUND(가정!$B$8*가정!$B$9^(A42-1),0)</f>
        <v>1662</v>
      </c>
      <c r="C42" s="11" t="n">
        <f aca="false">ROUND(가정!$B$10*가정!$B$11^(A42-1),0)</f>
        <v>206</v>
      </c>
      <c r="D42" s="11" t="n">
        <f aca="false">ROUNDUP(B42/C42,0)</f>
        <v>9</v>
      </c>
      <c r="E42" s="11" t="n">
        <f aca="false">SUM($D$3:D42)</f>
        <v>250</v>
      </c>
      <c r="F42" s="11" t="n">
        <f aca="false">D42*가정!$B$12</f>
        <v>90</v>
      </c>
      <c r="G42" s="11" t="n">
        <f aca="false">ROUND(SUM($F$3:F42)/60,1)</f>
        <v>41.7</v>
      </c>
      <c r="H42" s="11" t="n">
        <f aca="false">(A42-1)*가정!$B$6</f>
        <v>195</v>
      </c>
      <c r="I42" s="11" t="n">
        <f aca="false">ROUND(가정!$B$14+H42*가정!$B$16*가정!$B$15,0)</f>
        <v>127</v>
      </c>
      <c r="J42" s="11" t="n">
        <f aca="false">ROUND(가정!$B$19*가정!$B$20^(A42-1),0)</f>
        <v>864</v>
      </c>
      <c r="K42" s="11" t="n">
        <f aca="false">ROUND(가정!$B$21*가정!$B$22^(A42-1),1)</f>
        <v>100.6</v>
      </c>
      <c r="L42" s="11" t="n">
        <f aca="false">ROUND(가정!$B$17*I42^2/(I42+K42),1)</f>
        <v>85</v>
      </c>
      <c r="M42" s="11" t="n">
        <f aca="false">ROUNDUP(J42/L42,0)</f>
        <v>11</v>
      </c>
    </row>
    <row r="43" customFormat="false" ht="15" hidden="false" customHeight="false" outlineLevel="0" collapsed="false">
      <c r="A43" s="11" t="n">
        <v>41</v>
      </c>
      <c r="B43" s="11" t="n">
        <f aca="false">ROUND(가정!$B$8*가정!$B$9^(A43-1),0)</f>
        <v>1861</v>
      </c>
      <c r="C43" s="11" t="n">
        <f aca="false">ROUND(가정!$B$10*가정!$B$11^(A43-1),0)</f>
        <v>226</v>
      </c>
      <c r="D43" s="11" t="n">
        <f aca="false">ROUNDUP(B43/C43,0)</f>
        <v>9</v>
      </c>
      <c r="E43" s="11" t="n">
        <f aca="false">SUM($D$3:D43)</f>
        <v>259</v>
      </c>
      <c r="F43" s="11" t="n">
        <f aca="false">D43*가정!$B$12</f>
        <v>90</v>
      </c>
      <c r="G43" s="11" t="n">
        <f aca="false">ROUND(SUM($F$3:F43)/60,1)</f>
        <v>43.2</v>
      </c>
      <c r="H43" s="11" t="n">
        <f aca="false">(A43-1)*가정!$B$6</f>
        <v>200</v>
      </c>
      <c r="I43" s="11" t="n">
        <f aca="false">ROUND(가정!$B$14+H43*가정!$B$16*가정!$B$15,0)</f>
        <v>130</v>
      </c>
      <c r="J43" s="11" t="n">
        <f aca="false">ROUND(가정!$B$19*가정!$B$20^(A43-1),0)</f>
        <v>942</v>
      </c>
      <c r="K43" s="11" t="n">
        <f aca="false">ROUND(가정!$B$21*가정!$B$22^(A43-1),1)</f>
        <v>108.6</v>
      </c>
      <c r="L43" s="11" t="n">
        <f aca="false">ROUND(가정!$B$17*I43^2/(I43+K43),1)</f>
        <v>85</v>
      </c>
      <c r="M43" s="11" t="n">
        <f aca="false">ROUNDUP(J43/L43,0)</f>
        <v>12</v>
      </c>
    </row>
    <row r="44" customFormat="false" ht="15" hidden="false" customHeight="false" outlineLevel="0" collapsed="false">
      <c r="A44" s="11" t="n">
        <v>42</v>
      </c>
      <c r="B44" s="11" t="n">
        <f aca="false">ROUND(가정!$B$8*가정!$B$9^(A44-1),0)</f>
        <v>2084</v>
      </c>
      <c r="C44" s="11" t="n">
        <f aca="false">ROUND(가정!$B$10*가정!$B$11^(A44-1),0)</f>
        <v>249</v>
      </c>
      <c r="D44" s="11" t="n">
        <f aca="false">ROUNDUP(B44/C44,0)</f>
        <v>9</v>
      </c>
      <c r="E44" s="11" t="n">
        <f aca="false">SUM($D$3:D44)</f>
        <v>268</v>
      </c>
      <c r="F44" s="11" t="n">
        <f aca="false">D44*가정!$B$12</f>
        <v>90</v>
      </c>
      <c r="G44" s="11" t="n">
        <f aca="false">ROUND(SUM($F$3:F44)/60,1)</f>
        <v>44.7</v>
      </c>
      <c r="H44" s="11" t="n">
        <f aca="false">(A44-1)*가정!$B$6</f>
        <v>205</v>
      </c>
      <c r="I44" s="11" t="n">
        <f aca="false">ROUND(가정!$B$14+H44*가정!$B$16*가정!$B$15,0)</f>
        <v>133</v>
      </c>
      <c r="J44" s="11" t="n">
        <f aca="false">ROUND(가정!$B$19*가정!$B$20^(A44-1),0)</f>
        <v>1027</v>
      </c>
      <c r="K44" s="11" t="n">
        <f aca="false">ROUND(가정!$B$21*가정!$B$22^(A44-1),1)</f>
        <v>117.3</v>
      </c>
      <c r="L44" s="11" t="n">
        <f aca="false">ROUND(가정!$B$17*I44^2/(I44+K44),1)</f>
        <v>84.8</v>
      </c>
      <c r="M44" s="11" t="n">
        <f aca="false">ROUNDUP(J44/L44,0)</f>
        <v>13</v>
      </c>
    </row>
    <row r="45" customFormat="false" ht="15" hidden="false" customHeight="false" outlineLevel="0" collapsed="false">
      <c r="A45" s="11" t="n">
        <v>43</v>
      </c>
      <c r="B45" s="11" t="n">
        <f aca="false">ROUND(가정!$B$8*가정!$B$9^(A45-1),0)</f>
        <v>2334</v>
      </c>
      <c r="C45" s="11" t="n">
        <f aca="false">ROUND(가정!$B$10*가정!$B$11^(A45-1),0)</f>
        <v>274</v>
      </c>
      <c r="D45" s="11" t="n">
        <f aca="false">ROUNDUP(B45/C45,0)</f>
        <v>9</v>
      </c>
      <c r="E45" s="11" t="n">
        <f aca="false">SUM($D$3:D45)</f>
        <v>277</v>
      </c>
      <c r="F45" s="11" t="n">
        <f aca="false">D45*가정!$B$12</f>
        <v>90</v>
      </c>
      <c r="G45" s="11" t="n">
        <f aca="false">ROUND(SUM($F$3:F45)/60,1)</f>
        <v>46.2</v>
      </c>
      <c r="H45" s="11" t="n">
        <f aca="false">(A45-1)*가정!$B$6</f>
        <v>210</v>
      </c>
      <c r="I45" s="11" t="n">
        <f aca="false">ROUND(가정!$B$14+H45*가정!$B$16*가정!$B$15,0)</f>
        <v>136</v>
      </c>
      <c r="J45" s="11" t="n">
        <f aca="false">ROUND(가정!$B$19*가정!$B$20^(A45-1),0)</f>
        <v>1120</v>
      </c>
      <c r="K45" s="11" t="n">
        <f aca="false">ROUND(가정!$B$21*가정!$B$22^(A45-1),1)</f>
        <v>126.7</v>
      </c>
      <c r="L45" s="11" t="n">
        <f aca="false">ROUND(가정!$B$17*I45^2/(I45+K45),1)</f>
        <v>84.5</v>
      </c>
      <c r="M45" s="11" t="n">
        <f aca="false">ROUNDUP(J45/L45,0)</f>
        <v>14</v>
      </c>
    </row>
    <row r="46" customFormat="false" ht="15" hidden="false" customHeight="false" outlineLevel="0" collapsed="false">
      <c r="A46" s="11" t="n">
        <v>44</v>
      </c>
      <c r="B46" s="11" t="n">
        <f aca="false">ROUND(가정!$B$8*가정!$B$9^(A46-1),0)</f>
        <v>2615</v>
      </c>
      <c r="C46" s="11" t="n">
        <f aca="false">ROUND(가정!$B$10*가정!$B$11^(A46-1),0)</f>
        <v>301</v>
      </c>
      <c r="D46" s="11" t="n">
        <f aca="false">ROUNDUP(B46/C46,0)</f>
        <v>9</v>
      </c>
      <c r="E46" s="11" t="n">
        <f aca="false">SUM($D$3:D46)</f>
        <v>286</v>
      </c>
      <c r="F46" s="11" t="n">
        <f aca="false">D46*가정!$B$12</f>
        <v>90</v>
      </c>
      <c r="G46" s="11" t="n">
        <f aca="false">ROUND(SUM($F$3:F46)/60,1)</f>
        <v>47.7</v>
      </c>
      <c r="H46" s="11" t="n">
        <f aca="false">(A46-1)*가정!$B$6</f>
        <v>215</v>
      </c>
      <c r="I46" s="11" t="n">
        <f aca="false">ROUND(가정!$B$14+H46*가정!$B$16*가정!$B$15,0)</f>
        <v>139</v>
      </c>
      <c r="J46" s="11" t="n">
        <f aca="false">ROUND(가정!$B$19*가정!$B$20^(A46-1),0)</f>
        <v>1220</v>
      </c>
      <c r="K46" s="11" t="n">
        <f aca="false">ROUND(가정!$B$21*가정!$B$22^(A46-1),1)</f>
        <v>136.8</v>
      </c>
      <c r="L46" s="11" t="n">
        <f aca="false">ROUND(가정!$B$17*I46^2/(I46+K46),1)</f>
        <v>84.1</v>
      </c>
      <c r="M46" s="11" t="n">
        <f aca="false">ROUNDUP(J46/L46,0)</f>
        <v>15</v>
      </c>
    </row>
    <row r="47" customFormat="false" ht="15" hidden="false" customHeight="false" outlineLevel="0" collapsed="false">
      <c r="A47" s="11" t="n">
        <v>45</v>
      </c>
      <c r="B47" s="11" t="n">
        <f aca="false">ROUND(가정!$B$8*가정!$B$9^(A47-1),0)</f>
        <v>2928</v>
      </c>
      <c r="C47" s="11" t="n">
        <f aca="false">ROUND(가정!$B$10*가정!$B$11^(A47-1),0)</f>
        <v>331</v>
      </c>
      <c r="D47" s="11" t="n">
        <f aca="false">ROUNDUP(B47/C47,0)</f>
        <v>9</v>
      </c>
      <c r="E47" s="11" t="n">
        <f aca="false">SUM($D$3:D47)</f>
        <v>295</v>
      </c>
      <c r="F47" s="11" t="n">
        <f aca="false">D47*가정!$B$12</f>
        <v>90</v>
      </c>
      <c r="G47" s="11" t="n">
        <f aca="false">ROUND(SUM($F$3:F47)/60,1)</f>
        <v>49.2</v>
      </c>
      <c r="H47" s="11" t="n">
        <f aca="false">(A47-1)*가정!$B$6</f>
        <v>220</v>
      </c>
      <c r="I47" s="11" t="n">
        <f aca="false">ROUND(가정!$B$14+H47*가정!$B$16*가정!$B$15,0)</f>
        <v>142</v>
      </c>
      <c r="J47" s="11" t="n">
        <f aca="false">ROUND(가정!$B$19*가정!$B$20^(A47-1),0)</f>
        <v>1330</v>
      </c>
      <c r="K47" s="11" t="n">
        <f aca="false">ROUND(가정!$B$21*가정!$B$22^(A47-1),1)</f>
        <v>147.8</v>
      </c>
      <c r="L47" s="11" t="n">
        <f aca="false">ROUND(가정!$B$17*I47^2/(I47+K47),1)</f>
        <v>83.5</v>
      </c>
      <c r="M47" s="11" t="n">
        <f aca="false">ROUNDUP(J47/L47,0)</f>
        <v>16</v>
      </c>
    </row>
    <row r="48" customFormat="false" ht="15" hidden="false" customHeight="false" outlineLevel="0" collapsed="false">
      <c r="A48" s="11" t="n">
        <v>46</v>
      </c>
      <c r="B48" s="11" t="n">
        <f aca="false">ROUND(가정!$B$8*가정!$B$9^(A48-1),0)</f>
        <v>3280</v>
      </c>
      <c r="C48" s="11" t="n">
        <f aca="false">ROUND(가정!$B$10*가정!$B$11^(A48-1),0)</f>
        <v>364</v>
      </c>
      <c r="D48" s="11" t="n">
        <f aca="false">ROUNDUP(B48/C48,0)</f>
        <v>10</v>
      </c>
      <c r="E48" s="11" t="n">
        <f aca="false">SUM($D$3:D48)</f>
        <v>305</v>
      </c>
      <c r="F48" s="11" t="n">
        <f aca="false">D48*가정!$B$12</f>
        <v>100</v>
      </c>
      <c r="G48" s="11" t="n">
        <f aca="false">ROUND(SUM($F$3:F48)/60,1)</f>
        <v>50.8</v>
      </c>
      <c r="H48" s="11" t="n">
        <f aca="false">(A48-1)*가정!$B$6</f>
        <v>225</v>
      </c>
      <c r="I48" s="11" t="n">
        <f aca="false">ROUND(가정!$B$14+H48*가정!$B$16*가정!$B$15,0)</f>
        <v>145</v>
      </c>
      <c r="J48" s="11" t="n">
        <f aca="false">ROUND(가정!$B$19*가정!$B$20^(A48-1),0)</f>
        <v>1450</v>
      </c>
      <c r="K48" s="11" t="n">
        <f aca="false">ROUND(가정!$B$21*가정!$B$22^(A48-1),1)</f>
        <v>159.6</v>
      </c>
      <c r="L48" s="11" t="n">
        <f aca="false">ROUND(가정!$B$17*I48^2/(I48+K48),1)</f>
        <v>82.8</v>
      </c>
      <c r="M48" s="11" t="n">
        <f aca="false">ROUNDUP(J48/L48,0)</f>
        <v>18</v>
      </c>
    </row>
    <row r="49" customFormat="false" ht="15" hidden="false" customHeight="false" outlineLevel="0" collapsed="false">
      <c r="A49" s="11" t="n">
        <v>47</v>
      </c>
      <c r="B49" s="11" t="n">
        <f aca="false">ROUND(가정!$B$8*가정!$B$9^(A49-1),0)</f>
        <v>3673</v>
      </c>
      <c r="C49" s="11" t="n">
        <f aca="false">ROUND(가정!$B$10*가정!$B$11^(A49-1),0)</f>
        <v>401</v>
      </c>
      <c r="D49" s="11" t="n">
        <f aca="false">ROUNDUP(B49/C49,0)</f>
        <v>10</v>
      </c>
      <c r="E49" s="11" t="n">
        <f aca="false">SUM($D$3:D49)</f>
        <v>315</v>
      </c>
      <c r="F49" s="11" t="n">
        <f aca="false">D49*가정!$B$12</f>
        <v>100</v>
      </c>
      <c r="G49" s="11" t="n">
        <f aca="false">ROUND(SUM($F$3:F49)/60,1)</f>
        <v>52.5</v>
      </c>
      <c r="H49" s="11" t="n">
        <f aca="false">(A49-1)*가정!$B$6</f>
        <v>230</v>
      </c>
      <c r="I49" s="11" t="n">
        <f aca="false">ROUND(가정!$B$14+H49*가정!$B$16*가정!$B$15,0)</f>
        <v>148</v>
      </c>
      <c r="J49" s="11" t="n">
        <f aca="false">ROUND(가정!$B$19*가정!$B$20^(A49-1),0)</f>
        <v>1580</v>
      </c>
      <c r="K49" s="11" t="n">
        <f aca="false">ROUND(가정!$B$21*가정!$B$22^(A49-1),1)</f>
        <v>172.4</v>
      </c>
      <c r="L49" s="11" t="n">
        <f aca="false">ROUND(가정!$B$17*I49^2/(I49+K49),1)</f>
        <v>82</v>
      </c>
      <c r="M49" s="11" t="n">
        <f aca="false">ROUNDUP(J49/L49,0)</f>
        <v>20</v>
      </c>
    </row>
    <row r="50" customFormat="false" ht="15" hidden="false" customHeight="false" outlineLevel="0" collapsed="false">
      <c r="A50" s="11" t="n">
        <v>48</v>
      </c>
      <c r="B50" s="11" t="n">
        <f aca="false">ROUND(가정!$B$8*가정!$B$9^(A50-1),0)</f>
        <v>4114</v>
      </c>
      <c r="C50" s="11" t="n">
        <f aca="false">ROUND(가정!$B$10*가정!$B$11^(A50-1),0)</f>
        <v>441</v>
      </c>
      <c r="D50" s="11" t="n">
        <f aca="false">ROUNDUP(B50/C50,0)</f>
        <v>10</v>
      </c>
      <c r="E50" s="11" t="n">
        <f aca="false">SUM($D$3:D50)</f>
        <v>325</v>
      </c>
      <c r="F50" s="11" t="n">
        <f aca="false">D50*가정!$B$12</f>
        <v>100</v>
      </c>
      <c r="G50" s="11" t="n">
        <f aca="false">ROUND(SUM($F$3:F50)/60,1)</f>
        <v>54.2</v>
      </c>
      <c r="H50" s="11" t="n">
        <f aca="false">(A50-1)*가정!$B$6</f>
        <v>235</v>
      </c>
      <c r="I50" s="11" t="n">
        <f aca="false">ROUND(가정!$B$14+H50*가정!$B$16*가정!$B$15,0)</f>
        <v>151</v>
      </c>
      <c r="J50" s="11" t="n">
        <f aca="false">ROUND(가정!$B$19*가정!$B$20^(A50-1),0)</f>
        <v>1723</v>
      </c>
      <c r="K50" s="11" t="n">
        <f aca="false">ROUND(가정!$B$21*가정!$B$22^(A50-1),1)</f>
        <v>186.2</v>
      </c>
      <c r="L50" s="11" t="n">
        <f aca="false">ROUND(가정!$B$17*I50^2/(I50+K50),1)</f>
        <v>81.1</v>
      </c>
      <c r="M50" s="11" t="n">
        <f aca="false">ROUNDUP(J50/L50,0)</f>
        <v>22</v>
      </c>
    </row>
    <row r="51" customFormat="false" ht="15" hidden="false" customHeight="false" outlineLevel="0" collapsed="false">
      <c r="A51" s="11" t="n">
        <v>49</v>
      </c>
      <c r="B51" s="11" t="n">
        <f aca="false">ROUND(가정!$B$8*가정!$B$9^(A51-1),0)</f>
        <v>4608</v>
      </c>
      <c r="C51" s="11" t="n">
        <f aca="false">ROUND(가정!$B$10*가정!$B$11^(A51-1),0)</f>
        <v>485</v>
      </c>
      <c r="D51" s="11" t="n">
        <f aca="false">ROUNDUP(B51/C51,0)</f>
        <v>10</v>
      </c>
      <c r="E51" s="11" t="n">
        <f aca="false">SUM($D$3:D51)</f>
        <v>335</v>
      </c>
      <c r="F51" s="11" t="n">
        <f aca="false">D51*가정!$B$12</f>
        <v>100</v>
      </c>
      <c r="G51" s="11" t="n">
        <f aca="false">ROUND(SUM($F$3:F51)/60,1)</f>
        <v>55.8</v>
      </c>
      <c r="H51" s="11" t="n">
        <f aca="false">(A51-1)*가정!$B$6</f>
        <v>240</v>
      </c>
      <c r="I51" s="11" t="n">
        <f aca="false">ROUND(가정!$B$14+H51*가정!$B$16*가정!$B$15,0)</f>
        <v>154</v>
      </c>
      <c r="J51" s="11" t="n">
        <f aca="false">ROUND(가정!$B$19*가정!$B$20^(A51-1),0)</f>
        <v>1878</v>
      </c>
      <c r="K51" s="11" t="n">
        <f aca="false">ROUND(가정!$B$21*가정!$B$22^(A51-1),1)</f>
        <v>201.1</v>
      </c>
      <c r="L51" s="11" t="n">
        <f aca="false">ROUND(가정!$B$17*I51^2/(I51+K51),1)</f>
        <v>80.1</v>
      </c>
      <c r="M51" s="11" t="n">
        <f aca="false">ROUNDUP(J51/L51,0)</f>
        <v>24</v>
      </c>
    </row>
    <row r="52" customFormat="false" ht="15" hidden="false" customHeight="false" outlineLevel="0" collapsed="false">
      <c r="A52" s="11" t="n">
        <v>50</v>
      </c>
      <c r="B52" s="11" t="n">
        <f aca="false">ROUND(가정!$B$8*가정!$B$9^(A52-1),0)</f>
        <v>5161</v>
      </c>
      <c r="C52" s="11" t="n">
        <f aca="false">ROUND(가정!$B$10*가정!$B$11^(A52-1),0)</f>
        <v>534</v>
      </c>
      <c r="D52" s="11" t="n">
        <f aca="false">ROUNDUP(B52/C52,0)</f>
        <v>10</v>
      </c>
      <c r="E52" s="11" t="n">
        <f aca="false">SUM($D$3:D52)</f>
        <v>345</v>
      </c>
      <c r="F52" s="11" t="n">
        <f aca="false">D52*가정!$B$12</f>
        <v>100</v>
      </c>
      <c r="G52" s="11" t="n">
        <f aca="false">ROUND(SUM($F$3:F52)/60,1)</f>
        <v>57.5</v>
      </c>
      <c r="H52" s="11" t="n">
        <f aca="false">(A52-1)*가정!$B$6</f>
        <v>245</v>
      </c>
      <c r="I52" s="11" t="n">
        <f aca="false">ROUND(가정!$B$14+H52*가정!$B$16*가정!$B$15,0)</f>
        <v>157</v>
      </c>
      <c r="J52" s="11" t="n">
        <f aca="false">ROUND(가정!$B$19*가정!$B$20^(A52-1),0)</f>
        <v>2047</v>
      </c>
      <c r="K52" s="11" t="n">
        <f aca="false">ROUND(가정!$B$21*가정!$B$22^(A52-1),1)</f>
        <v>217.1</v>
      </c>
      <c r="L52" s="11" t="n">
        <f aca="false">ROUND(가정!$B$17*I52^2/(I52+K52),1)</f>
        <v>79.1</v>
      </c>
      <c r="M52" s="11" t="n">
        <f aca="false">ROUNDUP(J52/L52,0)</f>
        <v>26</v>
      </c>
    </row>
    <row r="53" customFormat="false" ht="15" hidden="false" customHeight="false" outlineLevel="0" collapsed="false">
      <c r="A53" s="11" t="n">
        <v>51</v>
      </c>
      <c r="B53" s="11" t="n">
        <f aca="false">ROUND(가정!$B$8*가정!$B$9^(A53-1),0)</f>
        <v>5780</v>
      </c>
      <c r="C53" s="11" t="n">
        <f aca="false">ROUND(가정!$B$10*가정!$B$11^(A53-1),0)</f>
        <v>587</v>
      </c>
      <c r="D53" s="11" t="n">
        <f aca="false">ROUNDUP(B53/C53,0)</f>
        <v>10</v>
      </c>
      <c r="E53" s="11" t="n">
        <f aca="false">SUM($D$3:D53)</f>
        <v>355</v>
      </c>
      <c r="F53" s="11" t="n">
        <f aca="false">D53*가정!$B$12</f>
        <v>100</v>
      </c>
      <c r="G53" s="11" t="n">
        <f aca="false">ROUND(SUM($F$3:F53)/60,1)</f>
        <v>59.2</v>
      </c>
      <c r="H53" s="11" t="n">
        <f aca="false">(A53-1)*가정!$B$6</f>
        <v>250</v>
      </c>
      <c r="I53" s="11" t="n">
        <f aca="false">ROUND(가정!$B$14+H53*가정!$B$16*가정!$B$15,0)</f>
        <v>160</v>
      </c>
      <c r="J53" s="11" t="n">
        <f aca="false">ROUND(가정!$B$19*가정!$B$20^(A53-1),0)</f>
        <v>2231</v>
      </c>
      <c r="K53" s="11" t="n">
        <f aca="false">ROUND(가정!$B$21*가정!$B$22^(A53-1),1)</f>
        <v>234.5</v>
      </c>
      <c r="L53" s="11" t="n">
        <f aca="false">ROUND(가정!$B$17*I53^2/(I53+K53),1)</f>
        <v>77.9</v>
      </c>
      <c r="M53" s="11" t="n">
        <f aca="false">ROUNDUP(J53/L53,0)</f>
        <v>29</v>
      </c>
    </row>
    <row r="54" customFormat="false" ht="15" hidden="false" customHeight="false" outlineLevel="0" collapsed="false">
      <c r="A54" s="11" t="n">
        <v>52</v>
      </c>
      <c r="B54" s="11" t="n">
        <f aca="false">ROUND(가정!$B$8*가정!$B$9^(A54-1),0)</f>
        <v>6474</v>
      </c>
      <c r="C54" s="11" t="n">
        <f aca="false">ROUND(가정!$B$10*가정!$B$11^(A54-1),0)</f>
        <v>646</v>
      </c>
      <c r="D54" s="11" t="n">
        <f aca="false">ROUNDUP(B54/C54,0)</f>
        <v>11</v>
      </c>
      <c r="E54" s="11" t="n">
        <f aca="false">SUM($D$3:D54)</f>
        <v>366</v>
      </c>
      <c r="F54" s="11" t="n">
        <f aca="false">D54*가정!$B$12</f>
        <v>110</v>
      </c>
      <c r="G54" s="11" t="n">
        <f aca="false">ROUND(SUM($F$3:F54)/60,1)</f>
        <v>61</v>
      </c>
      <c r="H54" s="11" t="n">
        <f aca="false">(A54-1)*가정!$B$6</f>
        <v>255</v>
      </c>
      <c r="I54" s="11" t="n">
        <f aca="false">ROUND(가정!$B$14+H54*가정!$B$16*가정!$B$15,0)</f>
        <v>163</v>
      </c>
      <c r="J54" s="11" t="n">
        <f aca="false">ROUND(가정!$B$19*가정!$B$20^(A54-1),0)</f>
        <v>2431</v>
      </c>
      <c r="K54" s="11" t="n">
        <f aca="false">ROUND(가정!$B$21*가정!$B$22^(A54-1),1)</f>
        <v>253.3</v>
      </c>
      <c r="L54" s="11" t="n">
        <f aca="false">ROUND(가정!$B$17*I54^2/(I54+K54),1)</f>
        <v>76.6</v>
      </c>
      <c r="M54" s="11" t="n">
        <f aca="false">ROUNDUP(J54/L54,0)</f>
        <v>32</v>
      </c>
    </row>
    <row r="55" customFormat="false" ht="15" hidden="false" customHeight="false" outlineLevel="0" collapsed="false">
      <c r="A55" s="11" t="n">
        <v>53</v>
      </c>
      <c r="B55" s="11" t="n">
        <f aca="false">ROUND(가정!$B$8*가정!$B$9^(A55-1),0)</f>
        <v>7250</v>
      </c>
      <c r="C55" s="11" t="n">
        <f aca="false">ROUND(가정!$B$10*가정!$B$11^(A55-1),0)</f>
        <v>710</v>
      </c>
      <c r="D55" s="11" t="n">
        <f aca="false">ROUNDUP(B55/C55,0)</f>
        <v>11</v>
      </c>
      <c r="E55" s="11" t="n">
        <f aca="false">SUM($D$3:D55)</f>
        <v>377</v>
      </c>
      <c r="F55" s="11" t="n">
        <f aca="false">D55*가정!$B$12</f>
        <v>110</v>
      </c>
      <c r="G55" s="11" t="n">
        <f aca="false">ROUND(SUM($F$3:F55)/60,1)</f>
        <v>62.8</v>
      </c>
      <c r="H55" s="11" t="n">
        <f aca="false">(A55-1)*가정!$B$6</f>
        <v>260</v>
      </c>
      <c r="I55" s="11" t="n">
        <f aca="false">ROUND(가정!$B$14+H55*가정!$B$16*가정!$B$15,0)</f>
        <v>166</v>
      </c>
      <c r="J55" s="11" t="n">
        <f aca="false">ROUND(가정!$B$19*가정!$B$20^(A55-1),0)</f>
        <v>2650</v>
      </c>
      <c r="K55" s="11" t="n">
        <f aca="false">ROUND(가정!$B$21*가정!$B$22^(A55-1),1)</f>
        <v>273.5</v>
      </c>
      <c r="L55" s="11" t="n">
        <f aca="false">ROUND(가정!$B$17*I55^2/(I55+K55),1)</f>
        <v>75.2</v>
      </c>
      <c r="M55" s="11" t="n">
        <f aca="false">ROUNDUP(J55/L55,0)</f>
        <v>36</v>
      </c>
    </row>
    <row r="56" customFormat="false" ht="15" hidden="false" customHeight="false" outlineLevel="0" collapsed="false">
      <c r="A56" s="11" t="n">
        <v>54</v>
      </c>
      <c r="B56" s="11" t="n">
        <f aca="false">ROUND(가정!$B$8*가정!$B$9^(A56-1),0)</f>
        <v>8121</v>
      </c>
      <c r="C56" s="11" t="n">
        <f aca="false">ROUND(가정!$B$10*가정!$B$11^(A56-1),0)</f>
        <v>781</v>
      </c>
      <c r="D56" s="11" t="n">
        <f aca="false">ROUNDUP(B56/C56,0)</f>
        <v>11</v>
      </c>
      <c r="E56" s="11" t="n">
        <f aca="false">SUM($D$3:D56)</f>
        <v>388</v>
      </c>
      <c r="F56" s="11" t="n">
        <f aca="false">D56*가정!$B$12</f>
        <v>110</v>
      </c>
      <c r="G56" s="11" t="n">
        <f aca="false">ROUND(SUM($F$3:F56)/60,1)</f>
        <v>64.7</v>
      </c>
      <c r="H56" s="11" t="n">
        <f aca="false">(A56-1)*가정!$B$6</f>
        <v>265</v>
      </c>
      <c r="I56" s="11" t="n">
        <f aca="false">ROUND(가정!$B$14+H56*가정!$B$16*가정!$B$15,0)</f>
        <v>169</v>
      </c>
      <c r="J56" s="11" t="n">
        <f aca="false">ROUND(가정!$B$19*가정!$B$20^(A56-1),0)</f>
        <v>2889</v>
      </c>
      <c r="K56" s="11" t="n">
        <f aca="false">ROUND(가정!$B$21*가정!$B$22^(A56-1),1)</f>
        <v>295.4</v>
      </c>
      <c r="L56" s="11" t="n">
        <f aca="false">ROUND(가정!$B$17*I56^2/(I56+K56),1)</f>
        <v>73.8</v>
      </c>
      <c r="M56" s="11" t="n">
        <f aca="false">ROUNDUP(J56/L56,0)</f>
        <v>40</v>
      </c>
    </row>
    <row r="57" customFormat="false" ht="15" hidden="false" customHeight="false" outlineLevel="0" collapsed="false">
      <c r="A57" s="11" t="n">
        <v>55</v>
      </c>
      <c r="B57" s="11" t="n">
        <f aca="false">ROUND(가정!$B$8*가정!$B$9^(A57-1),0)</f>
        <v>9095</v>
      </c>
      <c r="C57" s="11" t="n">
        <f aca="false">ROUND(가정!$B$10*가정!$B$11^(A57-1),0)</f>
        <v>859</v>
      </c>
      <c r="D57" s="11" t="n">
        <f aca="false">ROUNDUP(B57/C57,0)</f>
        <v>11</v>
      </c>
      <c r="E57" s="11" t="n">
        <f aca="false">SUM($D$3:D57)</f>
        <v>399</v>
      </c>
      <c r="F57" s="11" t="n">
        <f aca="false">D57*가정!$B$12</f>
        <v>110</v>
      </c>
      <c r="G57" s="11" t="n">
        <f aca="false">ROUND(SUM($F$3:F57)/60,1)</f>
        <v>66.5</v>
      </c>
      <c r="H57" s="11" t="n">
        <f aca="false">(A57-1)*가정!$B$6</f>
        <v>270</v>
      </c>
      <c r="I57" s="11" t="n">
        <f aca="false">ROUND(가정!$B$14+H57*가정!$B$16*가정!$B$15,0)</f>
        <v>172</v>
      </c>
      <c r="J57" s="11" t="n">
        <f aca="false">ROUND(가정!$B$19*가정!$B$20^(A57-1),0)</f>
        <v>3149</v>
      </c>
      <c r="K57" s="11" t="n">
        <f aca="false">ROUND(가정!$B$21*가정!$B$22^(A57-1),1)</f>
        <v>319</v>
      </c>
      <c r="L57" s="11" t="n">
        <f aca="false">ROUND(가정!$B$17*I57^2/(I57+K57),1)</f>
        <v>72.3</v>
      </c>
      <c r="M57" s="11" t="n">
        <f aca="false">ROUNDUP(J57/L57,0)</f>
        <v>44</v>
      </c>
    </row>
    <row r="58" customFormat="false" ht="15" hidden="false" customHeight="false" outlineLevel="0" collapsed="false">
      <c r="A58" s="11" t="n">
        <v>56</v>
      </c>
      <c r="B58" s="11" t="n">
        <f aca="false">ROUND(가정!$B$8*가정!$B$9^(A58-1),0)</f>
        <v>10186</v>
      </c>
      <c r="C58" s="11" t="n">
        <f aca="false">ROUND(가정!$B$10*가정!$B$11^(A58-1),0)</f>
        <v>945</v>
      </c>
      <c r="D58" s="11" t="n">
        <f aca="false">ROUNDUP(B58/C58,0)</f>
        <v>11</v>
      </c>
      <c r="E58" s="11" t="n">
        <f aca="false">SUM($D$3:D58)</f>
        <v>410</v>
      </c>
      <c r="F58" s="11" t="n">
        <f aca="false">D58*가정!$B$12</f>
        <v>110</v>
      </c>
      <c r="G58" s="11" t="n">
        <f aca="false">ROUND(SUM($F$3:F58)/60,1)</f>
        <v>68.3</v>
      </c>
      <c r="H58" s="11" t="n">
        <f aca="false">(A58-1)*가정!$B$6</f>
        <v>275</v>
      </c>
      <c r="I58" s="11" t="n">
        <f aca="false">ROUND(가정!$B$14+H58*가정!$B$16*가정!$B$15,0)</f>
        <v>175</v>
      </c>
      <c r="J58" s="11" t="n">
        <f aca="false">ROUND(가정!$B$19*가정!$B$20^(A58-1),0)</f>
        <v>3432</v>
      </c>
      <c r="K58" s="11" t="n">
        <f aca="false">ROUND(가정!$B$21*가정!$B$22^(A58-1),1)</f>
        <v>344.6</v>
      </c>
      <c r="L58" s="11" t="n">
        <f aca="false">ROUND(가정!$B$17*I58^2/(I58+K58),1)</f>
        <v>70.7</v>
      </c>
      <c r="M58" s="11" t="n">
        <f aca="false">ROUNDUP(J58/L58,0)</f>
        <v>49</v>
      </c>
    </row>
    <row r="59" customFormat="false" ht="15" hidden="false" customHeight="false" outlineLevel="0" collapsed="false">
      <c r="A59" s="11" t="n">
        <v>57</v>
      </c>
      <c r="B59" s="11" t="n">
        <f aca="false">ROUND(가정!$B$8*가정!$B$9^(A59-1),0)</f>
        <v>11409</v>
      </c>
      <c r="C59" s="11" t="n">
        <f aca="false">ROUND(가정!$B$10*가정!$B$11^(A59-1),0)</f>
        <v>1040</v>
      </c>
      <c r="D59" s="11" t="n">
        <f aca="false">ROUNDUP(B59/C59,0)</f>
        <v>11</v>
      </c>
      <c r="E59" s="11" t="n">
        <f aca="false">SUM($D$3:D59)</f>
        <v>421</v>
      </c>
      <c r="F59" s="11" t="n">
        <f aca="false">D59*가정!$B$12</f>
        <v>110</v>
      </c>
      <c r="G59" s="11" t="n">
        <f aca="false">ROUND(SUM($F$3:F59)/60,1)</f>
        <v>70.2</v>
      </c>
      <c r="H59" s="11" t="n">
        <f aca="false">(A59-1)*가정!$B$6</f>
        <v>280</v>
      </c>
      <c r="I59" s="11" t="n">
        <f aca="false">ROUND(가정!$B$14+H59*가정!$B$16*가정!$B$15,0)</f>
        <v>178</v>
      </c>
      <c r="J59" s="11" t="n">
        <f aca="false">ROUND(가정!$B$19*가정!$B$20^(A59-1),0)</f>
        <v>3741</v>
      </c>
      <c r="K59" s="11" t="n">
        <f aca="false">ROUND(가정!$B$21*가정!$B$22^(A59-1),1)</f>
        <v>372.1</v>
      </c>
      <c r="L59" s="11" t="n">
        <f aca="false">ROUND(가정!$B$17*I59^2/(I59+K59),1)</f>
        <v>69.1</v>
      </c>
      <c r="M59" s="11" t="n">
        <f aca="false">ROUNDUP(J59/L59,0)</f>
        <v>55</v>
      </c>
    </row>
    <row r="60" customFormat="false" ht="15" hidden="false" customHeight="false" outlineLevel="0" collapsed="false">
      <c r="A60" s="11" t="n">
        <v>58</v>
      </c>
      <c r="B60" s="11" t="n">
        <f aca="false">ROUND(가정!$B$8*가정!$B$9^(A60-1),0)</f>
        <v>12778</v>
      </c>
      <c r="C60" s="11" t="n">
        <f aca="false">ROUND(가정!$B$10*가정!$B$11^(A60-1),0)</f>
        <v>1144</v>
      </c>
      <c r="D60" s="11" t="n">
        <f aca="false">ROUNDUP(B60/C60,0)</f>
        <v>12</v>
      </c>
      <c r="E60" s="11" t="n">
        <f aca="false">SUM($D$3:D60)</f>
        <v>433</v>
      </c>
      <c r="F60" s="11" t="n">
        <f aca="false">D60*가정!$B$12</f>
        <v>120</v>
      </c>
      <c r="G60" s="11" t="n">
        <f aca="false">ROUND(SUM($F$3:F60)/60,1)</f>
        <v>72.2</v>
      </c>
      <c r="H60" s="11" t="n">
        <f aca="false">(A60-1)*가정!$B$6</f>
        <v>285</v>
      </c>
      <c r="I60" s="11" t="n">
        <f aca="false">ROUND(가정!$B$14+H60*가정!$B$16*가정!$B$15,0)</f>
        <v>181</v>
      </c>
      <c r="J60" s="11" t="n">
        <f aca="false">ROUND(가정!$B$19*가정!$B$20^(A60-1),0)</f>
        <v>4078</v>
      </c>
      <c r="K60" s="11" t="n">
        <f aca="false">ROUND(가정!$B$21*가정!$B$22^(A60-1),1)</f>
        <v>401.9</v>
      </c>
      <c r="L60" s="11" t="n">
        <f aca="false">ROUND(가정!$B$17*I60^2/(I60+K60),1)</f>
        <v>67.4</v>
      </c>
      <c r="M60" s="11" t="n">
        <f aca="false">ROUNDUP(J60/L60,0)</f>
        <v>61</v>
      </c>
    </row>
    <row r="61" customFormat="false" ht="15" hidden="false" customHeight="false" outlineLevel="0" collapsed="false">
      <c r="A61" s="11" t="n">
        <v>59</v>
      </c>
      <c r="B61" s="11" t="n">
        <f aca="false">ROUND(가정!$B$8*가정!$B$9^(A61-1),0)</f>
        <v>14311</v>
      </c>
      <c r="C61" s="11" t="n">
        <f aca="false">ROUND(가정!$B$10*가정!$B$11^(A61-1),0)</f>
        <v>1258</v>
      </c>
      <c r="D61" s="11" t="n">
        <f aca="false">ROUNDUP(B61/C61,0)</f>
        <v>12</v>
      </c>
      <c r="E61" s="11" t="n">
        <f aca="false">SUM($D$3:D61)</f>
        <v>445</v>
      </c>
      <c r="F61" s="11" t="n">
        <f aca="false">D61*가정!$B$12</f>
        <v>120</v>
      </c>
      <c r="G61" s="11" t="n">
        <f aca="false">ROUND(SUM($F$3:F61)/60,1)</f>
        <v>74.2</v>
      </c>
      <c r="H61" s="11" t="n">
        <f aca="false">(A61-1)*가정!$B$6</f>
        <v>290</v>
      </c>
      <c r="I61" s="11" t="n">
        <f aca="false">ROUND(가정!$B$14+H61*가정!$B$16*가정!$B$15,0)</f>
        <v>184</v>
      </c>
      <c r="J61" s="11" t="n">
        <f aca="false">ROUND(가정!$B$19*가정!$B$20^(A61-1),0)</f>
        <v>4445</v>
      </c>
      <c r="K61" s="11" t="n">
        <f aca="false">ROUND(가정!$B$21*가정!$B$22^(A61-1),1)</f>
        <v>434.1</v>
      </c>
      <c r="L61" s="11" t="n">
        <f aca="false">ROUND(가정!$B$17*I61^2/(I61+K61),1)</f>
        <v>65.7</v>
      </c>
      <c r="M61" s="11" t="n">
        <f aca="false">ROUNDUP(J61/L61,0)</f>
        <v>68</v>
      </c>
    </row>
    <row r="62" customFormat="false" ht="15" hidden="false" customHeight="false" outlineLevel="0" collapsed="false">
      <c r="A62" s="11" t="n">
        <v>60</v>
      </c>
      <c r="B62" s="11" t="n">
        <f aca="false">ROUND(가정!$B$8*가정!$B$9^(A62-1),0)</f>
        <v>16029</v>
      </c>
      <c r="C62" s="11" t="n">
        <f aca="false">ROUND(가정!$B$10*가정!$B$11^(A62-1),0)</f>
        <v>1384</v>
      </c>
      <c r="D62" s="11" t="n">
        <f aca="false">ROUNDUP(B62/C62,0)</f>
        <v>12</v>
      </c>
      <c r="E62" s="11" t="n">
        <f aca="false">SUM($D$3:D62)</f>
        <v>457</v>
      </c>
      <c r="F62" s="11" t="n">
        <f aca="false">D62*가정!$B$12</f>
        <v>120</v>
      </c>
      <c r="G62" s="11" t="n">
        <f aca="false">ROUND(SUM($F$3:F62)/60,1)</f>
        <v>76.2</v>
      </c>
      <c r="H62" s="11" t="n">
        <f aca="false">(A62-1)*가정!$B$6</f>
        <v>295</v>
      </c>
      <c r="I62" s="11" t="n">
        <f aca="false">ROUND(가정!$B$14+H62*가정!$B$16*가정!$B$15,0)</f>
        <v>187</v>
      </c>
      <c r="J62" s="11" t="n">
        <f aca="false">ROUND(가정!$B$19*가정!$B$20^(A62-1),0)</f>
        <v>4845</v>
      </c>
      <c r="K62" s="11" t="n">
        <f aca="false">ROUND(가정!$B$21*가정!$B$22^(A62-1),1)</f>
        <v>468.8</v>
      </c>
      <c r="L62" s="11" t="n">
        <f aca="false">ROUND(가정!$B$17*I62^2/(I62+K62),1)</f>
        <v>64</v>
      </c>
      <c r="M62" s="11" t="n">
        <f aca="false">ROUNDUP(J62/L62,0)</f>
        <v>76</v>
      </c>
    </row>
    <row r="64" customFormat="false" ht="15" hidden="false" customHeight="false" outlineLevel="0" collapsed="false">
      <c r="A64" s="1" t="s">
        <v>50</v>
      </c>
    </row>
    <row r="65" customFormat="false" ht="17.15" hidden="false" customHeight="false" outlineLevel="0" collapsed="false">
      <c r="A65" s="0" t="s">
        <v>51</v>
      </c>
      <c r="B65" s="2" t="n">
        <f aca="false">G32</f>
        <v>28.5</v>
      </c>
    </row>
    <row r="66" customFormat="false" ht="17.15" hidden="false" customHeight="false" outlineLevel="0" collapsed="false">
      <c r="A66" s="0" t="s">
        <v>52</v>
      </c>
      <c r="B66" s="0" t="n">
        <f aca="false">ROUND(B65/가정!$B$4,1)</f>
        <v>2.4</v>
      </c>
    </row>
    <row r="67" customFormat="false" ht="15" hidden="false" customHeight="false" outlineLevel="0" collapsed="false">
      <c r="A67" s="4" t="s">
        <v>53</v>
      </c>
    </row>
    <row r="68" customFormat="false" ht="15" hidden="false" customHeight="false" outlineLevel="0" collapsed="false">
      <c r="A68" s="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17.15" hidden="false" customHeight="false" outlineLevel="0" collapsed="false">
      <c r="A1" s="1" t="s">
        <v>55</v>
      </c>
    </row>
    <row r="2" customFormat="false" ht="17.15" hidden="false" customHeight="false" outlineLevel="0" collapsed="false">
      <c r="A2" s="13" t="s">
        <v>56</v>
      </c>
      <c r="B2" s="2" t="n">
        <f aca="false">(가정!$B$5-1)*가정!$B$6</f>
        <v>145</v>
      </c>
    </row>
    <row r="4" customFormat="false" ht="17.15" hidden="false" customHeight="false" outlineLevel="0" collapsed="false">
      <c r="A4" s="10" t="s">
        <v>57</v>
      </c>
      <c r="B4" s="10" t="s">
        <v>58</v>
      </c>
      <c r="C4" s="10" t="s">
        <v>59</v>
      </c>
      <c r="D4" s="10" t="s">
        <v>60</v>
      </c>
    </row>
    <row r="5" customFormat="false" ht="17.15" hidden="false" customHeight="false" outlineLevel="0" collapsed="false">
      <c r="A5" s="11" t="s">
        <v>61</v>
      </c>
      <c r="B5" s="3" t="n">
        <v>116</v>
      </c>
      <c r="C5" s="3" t="n">
        <v>58</v>
      </c>
      <c r="D5" s="3" t="n">
        <v>58</v>
      </c>
    </row>
    <row r="6" customFormat="false" ht="17.15" hidden="false" customHeight="false" outlineLevel="0" collapsed="false">
      <c r="A6" s="11" t="s">
        <v>62</v>
      </c>
      <c r="B6" s="3" t="n">
        <v>29</v>
      </c>
      <c r="C6" s="3" t="n">
        <v>44</v>
      </c>
      <c r="D6" s="3" t="n">
        <v>0</v>
      </c>
    </row>
    <row r="7" customFormat="false" ht="17.15" hidden="false" customHeight="false" outlineLevel="0" collapsed="false">
      <c r="A7" s="11" t="s">
        <v>63</v>
      </c>
      <c r="B7" s="3" t="n">
        <v>0</v>
      </c>
      <c r="C7" s="3" t="n">
        <v>43</v>
      </c>
      <c r="D7" s="3" t="n">
        <v>87</v>
      </c>
    </row>
    <row r="8" customFormat="false" ht="15" hidden="false" customHeight="false" outlineLevel="0" collapsed="false">
      <c r="A8" s="14" t="s">
        <v>64</v>
      </c>
      <c r="B8" s="15" t="str">
        <f aca="false">IF(SUM(B5:B7)=$B$2,"OK","합계 불일치!")</f>
        <v>OK</v>
      </c>
      <c r="C8" s="15" t="str">
        <f aca="false">IF(SUM(C5:C7)=$B$2,"OK","합계 불일치!")</f>
        <v>OK</v>
      </c>
      <c r="D8" s="15" t="str">
        <f aca="false">IF(SUM(D5:D7)=$B$2,"OK","합계 불일치!")</f>
        <v>OK</v>
      </c>
    </row>
    <row r="9" customFormat="false" ht="15" hidden="false" customHeight="false" outlineLevel="0" collapsed="false">
      <c r="A9" s="11" t="s">
        <v>65</v>
      </c>
      <c r="B9" s="15" t="n">
        <f aca="false">가정!$B$14+B5*가정!$B$15</f>
        <v>126</v>
      </c>
      <c r="C9" s="15" t="n">
        <f aca="false">가정!$B$14+C5*가정!$B$15</f>
        <v>68</v>
      </c>
      <c r="D9" s="15" t="n">
        <f aca="false">가정!$B$14+D5*가정!$B$15</f>
        <v>68</v>
      </c>
    </row>
    <row r="10" customFormat="false" ht="17.15" hidden="false" customHeight="false" outlineLevel="0" collapsed="false">
      <c r="A10" s="14" t="s">
        <v>66</v>
      </c>
      <c r="B10" s="15" t="n">
        <f aca="false">ROUND(가정!$B$17*B9^2/(B9+INDEX(곡선·전투!$K$3:$K$62,가정!$B$5)),1)</f>
        <v>110.4</v>
      </c>
      <c r="C10" s="15" t="n">
        <f aca="false">ROUND(가정!$B$17*C9^2/(C9+INDEX(곡선·전투!$K$3:$K$62,가정!$B$5)),1)</f>
        <v>48.4</v>
      </c>
      <c r="D10" s="15" t="n">
        <f aca="false">ROUND(가정!$B$17*D9^2/(D9+INDEX(곡선·전투!$K$3:$K$62,가정!$B$5)),1)</f>
        <v>48.4</v>
      </c>
    </row>
    <row r="11" customFormat="false" ht="15" hidden="false" customHeight="false" outlineLevel="0" collapsed="false">
      <c r="A11" s="14" t="s">
        <v>49</v>
      </c>
      <c r="B11" s="15" t="n">
        <f aca="false">ROUNDUP(INDEX(곡선·전투!$J$3:$J$62,가정!$B$5)/B10,0)</f>
        <v>4</v>
      </c>
      <c r="C11" s="15" t="n">
        <f aca="false">ROUNDUP(INDEX(곡선·전투!$J$3:$J$62,가정!$B$5)/C10,0)</f>
        <v>8</v>
      </c>
      <c r="D11" s="15" t="n">
        <f aca="false">ROUNDUP(INDEX(곡선·전투!$J$3:$J$62,가정!$B$5)/D10,0)</f>
        <v>8</v>
      </c>
    </row>
    <row r="12" customFormat="false" ht="15" hidden="false" customHeight="false" outlineLevel="0" collapsed="false">
      <c r="A12" s="14" t="s">
        <v>67</v>
      </c>
      <c r="B12" s="16" t="n">
        <f aca="false">가정!$B$24+B7*가정!$B$25</f>
        <v>0.03</v>
      </c>
      <c r="C12" s="16" t="n">
        <f aca="false">가정!$B$24+C7*가정!$B$25</f>
        <v>0.073</v>
      </c>
      <c r="D12" s="16" t="n">
        <f aca="false">가정!$B$24+D7*가정!$B$25</f>
        <v>0.117</v>
      </c>
    </row>
    <row r="13" customFormat="false" ht="17.15" hidden="false" customHeight="false" outlineLevel="0" collapsed="false">
      <c r="A13" s="14" t="s">
        <v>68</v>
      </c>
      <c r="B13" s="15" t="n">
        <f aca="false">ROUND(1/B12,0)</f>
        <v>33</v>
      </c>
      <c r="C13" s="15" t="n">
        <f aca="false">ROUND(1/C12,0)</f>
        <v>14</v>
      </c>
      <c r="D13" s="15" t="n">
        <f aca="false">ROUND(1/D12,0)</f>
        <v>9</v>
      </c>
    </row>
    <row r="14" customFormat="false" ht="17.15" hidden="false" customHeight="false" outlineLevel="0" collapsed="false">
      <c r="A14" s="14" t="s">
        <v>69</v>
      </c>
      <c r="B14" s="15" t="n">
        <f aca="false">ROUND(B13/가정!$B$26,2)</f>
        <v>0.83</v>
      </c>
      <c r="C14" s="15" t="n">
        <f aca="false">ROUND(C13/가정!$B$26,2)</f>
        <v>0.35</v>
      </c>
      <c r="D14" s="15" t="n">
        <f aca="false">ROUND(D13/가정!$B$26,2)</f>
        <v>0.23</v>
      </c>
    </row>
    <row r="16" customFormat="false" ht="15" hidden="false" customHeight="false" outlineLevel="0" collapsed="false">
      <c r="A16" s="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36"/>
  </cols>
  <sheetData>
    <row r="1" customFormat="false" ht="17.15" hidden="false" customHeight="false" outlineLevel="0" collapsed="false">
      <c r="A1" s="1" t="s">
        <v>71</v>
      </c>
    </row>
    <row r="3" customFormat="false" ht="17.15" hidden="false" customHeight="false" outlineLevel="0" collapsed="false">
      <c r="A3" s="10" t="s">
        <v>72</v>
      </c>
      <c r="B3" s="10" t="s">
        <v>73</v>
      </c>
      <c r="C3" s="10" t="s">
        <v>74</v>
      </c>
      <c r="D3" s="10" t="s">
        <v>75</v>
      </c>
    </row>
    <row r="4" customFormat="false" ht="15" hidden="false" customHeight="false" outlineLevel="0" collapsed="false">
      <c r="A4" s="3" t="n">
        <v>30</v>
      </c>
      <c r="B4" s="17" t="s">
        <v>76</v>
      </c>
      <c r="C4" s="17" t="s">
        <v>77</v>
      </c>
      <c r="D4" s="18" t="s">
        <v>78</v>
      </c>
    </row>
    <row r="5" customFormat="false" ht="17.15" hidden="false" customHeight="false" outlineLevel="0" collapsed="false">
      <c r="A5" s="3" t="n">
        <v>40</v>
      </c>
      <c r="B5" s="17" t="s">
        <v>79</v>
      </c>
      <c r="C5" s="17" t="s">
        <v>80</v>
      </c>
      <c r="D5" s="18" t="s">
        <v>81</v>
      </c>
    </row>
    <row r="6" customFormat="false" ht="17.15" hidden="false" customHeight="false" outlineLevel="0" collapsed="false">
      <c r="A6" s="3" t="n">
        <v>50</v>
      </c>
      <c r="B6" s="17" t="s">
        <v>82</v>
      </c>
      <c r="C6" s="17" t="s">
        <v>83</v>
      </c>
      <c r="D6" s="18" t="s">
        <v>84</v>
      </c>
    </row>
    <row r="7" customFormat="false" ht="17.15" hidden="false" customHeight="false" outlineLevel="0" collapsed="false">
      <c r="A7" s="3" t="n">
        <v>55</v>
      </c>
      <c r="B7" s="17" t="s">
        <v>85</v>
      </c>
      <c r="C7" s="3" t="s">
        <v>86</v>
      </c>
      <c r="D7" s="19" t="s">
        <v>87</v>
      </c>
    </row>
    <row r="8" customFormat="false" ht="17.15" hidden="false" customHeight="false" outlineLevel="0" collapsed="false">
      <c r="A8" s="3" t="n">
        <v>70</v>
      </c>
      <c r="B8" s="17" t="s">
        <v>88</v>
      </c>
      <c r="C8" s="17" t="s">
        <v>89</v>
      </c>
      <c r="D8" s="18" t="s">
        <v>90</v>
      </c>
    </row>
    <row r="9" customFormat="false" ht="17.15" hidden="false" customHeight="false" outlineLevel="0" collapsed="false">
      <c r="A9" s="3" t="n">
        <v>85</v>
      </c>
      <c r="B9" s="17" t="s">
        <v>85</v>
      </c>
      <c r="C9" s="3" t="s">
        <v>91</v>
      </c>
      <c r="D9" s="18"/>
    </row>
    <row r="10" customFormat="false" ht="17.15" hidden="false" customHeight="false" outlineLevel="0" collapsed="false">
      <c r="A10" s="3" t="n">
        <v>100</v>
      </c>
      <c r="B10" s="17" t="s">
        <v>82</v>
      </c>
      <c r="C10" s="17" t="s">
        <v>92</v>
      </c>
      <c r="D10" s="18" t="s">
        <v>93</v>
      </c>
    </row>
    <row r="11" customFormat="false" ht="17.15" hidden="false" customHeight="false" outlineLevel="0" collapsed="false">
      <c r="A11" s="3" t="n">
        <v>120</v>
      </c>
      <c r="B11" s="17" t="s">
        <v>88</v>
      </c>
      <c r="C11" s="17" t="s">
        <v>89</v>
      </c>
      <c r="D11" s="18"/>
    </row>
    <row r="12" customFormat="false" ht="17.15" hidden="false" customHeight="false" outlineLevel="0" collapsed="false">
      <c r="A12" s="3" t="n">
        <v>140</v>
      </c>
      <c r="B12" s="17" t="s">
        <v>85</v>
      </c>
      <c r="C12" s="3" t="s">
        <v>94</v>
      </c>
      <c r="D12" s="18"/>
    </row>
    <row r="13" customFormat="false" ht="17.15" hidden="false" customHeight="false" outlineLevel="0" collapsed="false">
      <c r="A13" s="3" t="n">
        <v>170</v>
      </c>
      <c r="B13" s="17" t="s">
        <v>82</v>
      </c>
      <c r="C13" s="17" t="s">
        <v>95</v>
      </c>
      <c r="D13" s="18"/>
    </row>
    <row r="14" customFormat="false" ht="17.15" hidden="false" customHeight="false" outlineLevel="0" collapsed="false">
      <c r="A14" s="3" t="n">
        <v>200</v>
      </c>
      <c r="B14" s="17" t="s">
        <v>96</v>
      </c>
      <c r="C14" s="17" t="s">
        <v>97</v>
      </c>
      <c r="D14" s="18" t="s">
        <v>98</v>
      </c>
    </row>
    <row r="16" customFormat="false" ht="15" hidden="false" customHeight="false" outlineLevel="0" collapsed="false">
      <c r="A16" s="4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2026-07-09T02:54:33Z</dcterms:created>
  <dc:creator>openpyxl</dc:creator>
  <dc:description/>
  <dc:language>en-US</dc:language>
  <cp:lastModifiedBy/>
  <dcterms:modified xsi:type="dcterms:W3CDTF">2026-07-09T02:54:33Z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