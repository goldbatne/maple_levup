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가정" sheetId="1" state="visible" r:id="rId1"/>
    <sheet name="곡선·전투" sheetId="2" state="visible" r:id="rId2"/>
    <sheet name="방·몬스터 v0.2" sheetId="3" state="visible" r:id="rId3"/>
    <sheet name="T9 실측" sheetId="4" state="visible" r:id="rId4"/>
    <sheet name="빌드 시나리오" sheetId="5" state="visible" r:id="rId5"/>
    <sheet name="랜드마크 사다리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1"/>
    </font>
    <font>
      <name val="Arial"/>
      <charset val="1"/>
      <family val="0"/>
      <b val="1"/>
      <sz val="11"/>
    </font>
    <font>
      <name val="Noto Sans CJK SC"/>
      <family val="2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Noto Sans CJK SC"/>
      <family val="2"/>
      <color rgb="FF777777"/>
      <sz val="9"/>
    </font>
    <font>
      <name val="Arial"/>
      <charset val="1"/>
      <family val="0"/>
      <color rgb="FF777777"/>
      <sz val="9"/>
    </font>
    <font>
      <name val="Arial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CJK SC"/>
      <family val="2"/>
      <color theme="1"/>
      <sz val="11"/>
    </font>
    <font>
      <name val="Noto Sans CJK SC"/>
      <family val="2"/>
      <color rgb="FF0000FF"/>
      <sz val="11"/>
    </font>
    <font>
      <name val="Noto Sans CJK SC"/>
      <b val="1"/>
      <sz val="11"/>
    </font>
    <font>
      <name val="Noto Sans CJK SC"/>
      <sz val="11"/>
    </font>
    <font>
      <name val="Arial"/>
      <color rgb="FF0000FF"/>
      <sz val="11"/>
    </font>
    <font>
      <name val="Noto Sans CJK SC"/>
      <color rgb="FF777777"/>
      <sz val="9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24384C"/>
        <bgColor rgb="FF003366"/>
      </patternFill>
    </fill>
    <fill>
      <patternFill patternType="solid">
        <fgColor rgb="FFFFE3C7"/>
        <bgColor rgb="FFFFCC9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bottom" wrapText="1"/>
    </xf>
    <xf numFmtId="0" fontId="12" fillId="2" borderId="1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1" fillId="2" borderId="1" applyAlignment="1" pivotButton="0" quotePrefix="0" xfId="0">
      <alignment horizontal="center" vertical="bottom" wrapText="1"/>
    </xf>
    <xf numFmtId="0" fontId="12" fillId="2" borderId="1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19" fillId="0" borderId="0" pivotButton="0" quotePrefix="0" xfId="0"/>
    <xf numFmtId="0" fontId="13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E3C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384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12" customWidth="1" style="20" min="2" max="2"/>
    <col width="48" customWidth="1" style="20" min="3" max="3"/>
  </cols>
  <sheetData>
    <row r="1" ht="17.15" customHeight="1" s="21">
      <c r="A1" s="22" t="inlineStr">
        <is>
          <t>밸런스 가정 v0.2 (파란색 = 조절 가능한 입력값)</t>
        </is>
      </c>
    </row>
    <row r="3" ht="17.15" customHeight="1" s="21">
      <c r="A3" s="22" t="inlineStr">
        <is>
          <t>세션·회차</t>
        </is>
      </c>
    </row>
    <row r="4" ht="17.15" customHeight="1" s="21">
      <c r="A4" s="23" t="inlineStr">
        <is>
          <t>세션 길이 (분)</t>
        </is>
      </c>
      <c r="B4" s="24" t="n">
        <v>12</v>
      </c>
      <c r="C4" s="25" t="inlineStr">
        <is>
          <t>출퇴근 짬짬이 기준</t>
        </is>
      </c>
    </row>
    <row r="5" ht="15" customHeight="1" s="21">
      <c r="A5" s="23" t="inlineStr">
        <is>
          <t>초기 레벨 캡</t>
        </is>
      </c>
      <c r="B5" s="24" t="n">
        <v>30</v>
      </c>
      <c r="C5" s="26" t="inlineStr">
        <is>
          <t>1회차 하드 캡</t>
        </is>
      </c>
    </row>
    <row r="6" ht="15" customHeight="1" s="21">
      <c r="A6" s="23" t="inlineStr">
        <is>
          <t>레벨당 스탯 포인트</t>
        </is>
      </c>
      <c r="B6" s="24" t="n">
        <v>5</v>
      </c>
      <c r="C6" s="25" t="inlineStr">
        <is>
          <t>기본 지급 (티어 상승 전)</t>
        </is>
      </c>
    </row>
    <row r="7" ht="15" customHeight="1" s="21">
      <c r="A7" s="22" t="inlineStr">
        <is>
          <t>경험치 곡선</t>
        </is>
      </c>
    </row>
    <row r="8" ht="17.15" customHeight="1" s="21">
      <c r="A8" s="27" t="inlineStr">
        <is>
          <t>Lv1 필요 EXP</t>
        </is>
      </c>
      <c r="B8" s="24" t="n">
        <v>20</v>
      </c>
      <c r="C8" s="25" t="n"/>
    </row>
    <row r="9" ht="17.15" customHeight="1" s="21">
      <c r="A9" s="23" t="inlineStr">
        <is>
          <t>필요 EXP 공비 (레벨당)</t>
        </is>
      </c>
      <c r="B9" s="24" t="n">
        <v>1.12</v>
      </c>
      <c r="C9" s="25" t="inlineStr">
        <is>
          <t>순한 지수 곡선 (1.1~1.15 권장 범위)</t>
        </is>
      </c>
    </row>
    <row r="10" ht="17.15" customHeight="1" s="21">
      <c r="A10" s="27" t="inlineStr">
        <is>
          <t>Lv1 몬스터 EXP</t>
        </is>
      </c>
      <c r="B10" s="24" t="n">
        <v>5</v>
      </c>
      <c r="C10" s="25" t="n"/>
    </row>
    <row r="11" ht="17.15" customHeight="1" s="21">
      <c r="A11" s="23" t="inlineStr">
        <is>
          <t>몬스터 EXP 공비</t>
        </is>
      </c>
      <c r="B11" s="24" t="n">
        <v>1.1</v>
      </c>
      <c r="C11" s="25" t="inlineStr">
        <is>
          <t>필요EXP 공비보다 낮게 → 캡 근처 완만한 감속</t>
        </is>
      </c>
    </row>
    <row r="12" ht="17.15" customHeight="1" s="21">
      <c r="A12" s="23" t="inlineStr">
        <is>
          <t>처치당 시간 (초)</t>
        </is>
      </c>
      <c r="B12" s="24" t="n">
        <v>5</v>
      </c>
      <c r="C12" s="25" t="inlineStr">
        <is>
          <t>T9 실측: 전투 1~4초 + 리필 대기. 방 간 이동은 미측정이라 실제는 이보다 김</t>
        </is>
      </c>
    </row>
    <row r="13" ht="15" customHeight="1" s="21">
      <c r="A13" s="22" t="inlineStr">
        <is>
          <t>플레이어 전투력</t>
        </is>
      </c>
    </row>
    <row r="14" ht="17.15" customHeight="1" s="21">
      <c r="A14" s="23" t="inlineStr">
        <is>
          <t>기본 ATK (분배 전)</t>
        </is>
      </c>
      <c r="B14" s="24" t="n">
        <v>10</v>
      </c>
      <c r="C14" s="25" t="n"/>
    </row>
    <row r="15" ht="17.15" customHeight="1" s="21">
      <c r="A15" s="23" t="inlineStr">
        <is>
          <t>스탯 1P당 ATK</t>
        </is>
      </c>
      <c r="B15" s="24" t="n">
        <v>1</v>
      </c>
      <c r="C15" s="25" t="n"/>
    </row>
    <row r="16" ht="17.15" customHeight="1" s="21">
      <c r="A16" s="27" t="inlineStr">
        <is>
          <t>ATK 분배 비중 (기준 빌드)</t>
        </is>
      </c>
      <c r="B16" s="28" t="n">
        <v>0.6</v>
      </c>
      <c r="C16" s="25" t="inlineStr">
        <is>
          <t>총 포인트 중 ATK에 넣는 비율</t>
        </is>
      </c>
    </row>
    <row r="17" ht="17.15" customHeight="1" s="21">
      <c r="A17" s="23" t="inlineStr">
        <is>
          <t>스킬 계수 (기준 직업 스킬)</t>
        </is>
      </c>
      <c r="B17" s="24" t="n">
        <v>1.2</v>
      </c>
      <c r="C17" s="25" t="inlineStr">
        <is>
          <t>데미지 = 계수 × ATK² / (ATK+DEF)</t>
        </is>
      </c>
    </row>
    <row r="18" ht="15" customHeight="1" s="21">
      <c r="A18" s="22" t="inlineStr">
        <is>
          <t>몬스터 성장</t>
        </is>
      </c>
    </row>
    <row r="19" ht="17.15" customHeight="1" s="21">
      <c r="A19" s="27" t="inlineStr">
        <is>
          <t>Lv1 몬스터 HP</t>
        </is>
      </c>
      <c r="B19" s="24" t="n">
        <v>30</v>
      </c>
      <c r="C19" s="25" t="n"/>
    </row>
    <row r="20" ht="17.15" customHeight="1" s="21">
      <c r="A20" s="23" t="inlineStr">
        <is>
          <t>몬스터 HP 공비</t>
        </is>
      </c>
      <c r="B20" s="24" t="n">
        <v>1.09</v>
      </c>
      <c r="C20" s="25" t="n"/>
    </row>
    <row r="21" ht="17.15" customHeight="1" s="21">
      <c r="A21" s="27" t="inlineStr">
        <is>
          <t>Lv1 몬스터 DEF</t>
        </is>
      </c>
      <c r="B21" s="24" t="n">
        <v>5</v>
      </c>
      <c r="C21" s="25" t="n"/>
    </row>
    <row r="22" ht="17.15" customHeight="1" s="21">
      <c r="A22" s="23" t="inlineStr">
        <is>
          <t>몬스터 DEF 공비</t>
        </is>
      </c>
      <c r="B22" s="24" t="n">
        <v>1.08</v>
      </c>
      <c r="C22" s="25" t="n"/>
    </row>
    <row r="23" ht="17.15" customHeight="1" s="21">
      <c r="A23" s="22" t="inlineStr">
        <is>
          <t>포획 (LUK)</t>
        </is>
      </c>
    </row>
    <row r="24" ht="15" customHeight="1" s="21">
      <c r="A24" s="23" t="inlineStr">
        <is>
          <t>기본 포획 확률</t>
        </is>
      </c>
      <c r="B24" s="29" t="n">
        <v>0.03</v>
      </c>
      <c r="C24" s="26" t="inlineStr">
        <is>
          <t>3%</t>
        </is>
      </c>
    </row>
    <row r="25" ht="17.15" customHeight="1" s="21">
      <c r="A25" s="27" t="inlineStr">
        <is>
          <t>LUK 1P당 포획 보정</t>
        </is>
      </c>
      <c r="B25" s="29" t="n">
        <v>0.001</v>
      </c>
      <c r="C25" s="26" t="inlineStr">
        <is>
          <t>+0.1%p</t>
        </is>
      </c>
    </row>
    <row r="26" ht="17.15" customHeight="1" s="21">
      <c r="A26" s="23" t="inlineStr">
        <is>
          <t>포획 천장 (처치 수)</t>
        </is>
      </c>
      <c r="B26" s="24" t="n">
        <v>40</v>
      </c>
      <c r="C26" s="26" t="inlineStr">
        <is>
          <t>N마리 처치 시 확정 포획 — 빈손 세션 방지</t>
        </is>
      </c>
    </row>
    <row r="28">
      <c r="A28" s="30" t="inlineStr">
        <is>
          <t>T9 실측·결정 (v0.2 추가)</t>
        </is>
      </c>
    </row>
    <row r="29">
      <c r="A29" s="31" t="inlineStr">
        <is>
          <t>공격 주기 (초)</t>
        </is>
      </c>
      <c r="B29" s="32" t="n">
        <v>1</v>
      </c>
      <c r="C29" s="33" t="inlineStr">
        <is>
          <t>T9-2 실측. 1타가 되는 순간이 사냥 속도 상한 — ATK를 더 올려도 안 빨라진다</t>
        </is>
      </c>
    </row>
    <row r="30">
      <c r="A30" s="31" t="inlineStr">
        <is>
          <t>몬스터 리필 주기 (초)</t>
        </is>
      </c>
      <c r="B30" s="32" t="n">
        <v>3</v>
      </c>
      <c r="C30" s="33" t="inlineStr">
        <is>
          <t>T9-2 실측. 방을 비우면 이만큼 기다린다 — 후반의 실질 병목</t>
        </is>
      </c>
    </row>
    <row r="31">
      <c r="A31" s="31" t="inlineStr">
        <is>
          <t>자동 공격 계수 스탯</t>
        </is>
      </c>
      <c r="B31" s="32" t="inlineStr">
        <is>
          <t>max(ATK, INT)</t>
        </is>
      </c>
      <c r="C31" s="33" t="inlineStr">
        <is>
          <t>T9-4 결정. 기존 ATK 고정 → 둘 중 높은 쪽. 이래야 INT 빌드가 성립한다</t>
        </is>
      </c>
    </row>
    <row r="32">
      <c r="A32" s="31" t="inlineStr">
        <is>
          <t>상시 몬스터 최고 Lv</t>
        </is>
      </c>
      <c r="B32" s="32" t="n">
        <v>12</v>
      </c>
      <c r="C32" s="33" t="inlineStr">
        <is>
          <t>T9-4 결정. 기존 5 → 12 (방별 계단). 후반 킬 수와 1타 상한을 같이 푼다</t>
        </is>
      </c>
    </row>
    <row r="33">
      <c r="A33" s="31" t="inlineStr">
        <is>
          <t>컬렉션 종 수</t>
        </is>
      </c>
      <c r="B33" s="32" t="n">
        <v>4</v>
      </c>
      <c r="C33" s="33" t="inlineStr">
        <is>
          <t>T9-4 결정. 3종 → 4종 (1종 추가). 3종이면 누구나 다 모아 LUK이 무의미했다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13" customWidth="1" style="20" min="2" max="13"/>
  </cols>
  <sheetData>
    <row r="1" ht="17.15" customHeight="1" s="21">
      <c r="A1" s="22" t="inlineStr">
        <is>
          <t>레벨 곡선 + 전투 검증 (Lv 1~60) — 주황 행 = 초기 캡</t>
        </is>
      </c>
    </row>
    <row r="2" ht="32.8" customHeight="1" s="21">
      <c r="A2" s="34" t="inlineStr">
        <is>
          <t>Lv</t>
        </is>
      </c>
      <c r="B2" s="35" t="inlineStr">
        <is>
          <t>필요 EXP</t>
        </is>
      </c>
      <c r="C2" s="35" t="inlineStr">
        <is>
          <t>몬스터 EXP</t>
        </is>
      </c>
      <c r="D2" s="35" t="inlineStr">
        <is>
          <t>레벨업 처치 수</t>
        </is>
      </c>
      <c r="E2" s="35" t="inlineStr">
        <is>
          <t>누적 처치</t>
        </is>
      </c>
      <c r="F2" s="35" t="inlineStr">
        <is>
          <t>레벨업 시간(초)</t>
        </is>
      </c>
      <c r="G2" s="35" t="inlineStr">
        <is>
          <t>누적 시간(분)</t>
        </is>
      </c>
      <c r="H2" s="35" t="inlineStr">
        <is>
          <t>분배 가능 P (누적)</t>
        </is>
      </c>
      <c r="I2" s="34" t="inlineStr">
        <is>
          <t>ATK (기준 빌드)</t>
        </is>
      </c>
      <c r="J2" s="35" t="inlineStr">
        <is>
          <t>몬스터 HP</t>
        </is>
      </c>
      <c r="K2" s="35" t="inlineStr">
        <is>
          <t>몬스터 DEF</t>
        </is>
      </c>
      <c r="L2" s="35" t="inlineStr">
        <is>
          <t>타격 데미지</t>
        </is>
      </c>
      <c r="M2" s="35" t="inlineStr">
        <is>
          <t>처치 타수</t>
        </is>
      </c>
    </row>
    <row r="3" ht="15" customHeight="1" s="21">
      <c r="A3" s="36" t="n">
        <v>1</v>
      </c>
      <c r="B3" s="36">
        <f>ROUND(가정!$B$8*가정!$B$9^(A3-1),0)</f>
        <v/>
      </c>
      <c r="C3" s="36">
        <f>ROUND(가정!$B$10*가정!$B$11^(A3-1),0)</f>
        <v/>
      </c>
      <c r="D3" s="36">
        <f>ROUNDUP(B3/C3,0)</f>
        <v/>
      </c>
      <c r="E3" s="36">
        <f>SUM($D$3:D3)</f>
        <v/>
      </c>
      <c r="F3" s="36">
        <f>D3*가정!$B$12</f>
        <v/>
      </c>
      <c r="G3" s="36">
        <f>ROUND(SUM($F$3:F3)/60,1)</f>
        <v/>
      </c>
      <c r="H3" s="36">
        <f>(A3-1)*가정!$B$6</f>
        <v/>
      </c>
      <c r="I3" s="36">
        <f>ROUND(가정!$B$14+H3*가정!$B$16*가정!$B$15,0)</f>
        <v/>
      </c>
      <c r="J3" s="36">
        <f>ROUND(가정!$B$19*가정!$B$20^(A3-1),0)</f>
        <v/>
      </c>
      <c r="K3" s="36">
        <f>ROUND(가정!$B$21*가정!$B$22^(A3-1),1)</f>
        <v/>
      </c>
      <c r="L3" s="36">
        <f>ROUND(가정!$B$17*I3^2/(I3+K3),1)</f>
        <v/>
      </c>
      <c r="M3" s="36">
        <f>ROUNDUP(J3/L3,0)</f>
        <v/>
      </c>
    </row>
    <row r="4" ht="15" customHeight="1" s="21">
      <c r="A4" s="36" t="n">
        <v>2</v>
      </c>
      <c r="B4" s="36">
        <f>ROUND(가정!$B$8*가정!$B$9^(A4-1),0)</f>
        <v/>
      </c>
      <c r="C4" s="36">
        <f>ROUND(가정!$B$10*가정!$B$11^(A4-1),0)</f>
        <v/>
      </c>
      <c r="D4" s="36">
        <f>ROUNDUP(B4/C4,0)</f>
        <v/>
      </c>
      <c r="E4" s="36">
        <f>SUM($D$3:D4)</f>
        <v/>
      </c>
      <c r="F4" s="36">
        <f>D4*가정!$B$12</f>
        <v/>
      </c>
      <c r="G4" s="36">
        <f>ROUND(SUM($F$3:F4)/60,1)</f>
        <v/>
      </c>
      <c r="H4" s="36">
        <f>(A4-1)*가정!$B$6</f>
        <v/>
      </c>
      <c r="I4" s="36">
        <f>ROUND(가정!$B$14+H4*가정!$B$16*가정!$B$15,0)</f>
        <v/>
      </c>
      <c r="J4" s="36">
        <f>ROUND(가정!$B$19*가정!$B$20^(A4-1),0)</f>
        <v/>
      </c>
      <c r="K4" s="36">
        <f>ROUND(가정!$B$21*가정!$B$22^(A4-1),1)</f>
        <v/>
      </c>
      <c r="L4" s="36">
        <f>ROUND(가정!$B$17*I4^2/(I4+K4),1)</f>
        <v/>
      </c>
      <c r="M4" s="36">
        <f>ROUNDUP(J4/L4,0)</f>
        <v/>
      </c>
    </row>
    <row r="5" ht="15" customHeight="1" s="21">
      <c r="A5" s="36" t="n">
        <v>3</v>
      </c>
      <c r="B5" s="36">
        <f>ROUND(가정!$B$8*가정!$B$9^(A5-1),0)</f>
        <v/>
      </c>
      <c r="C5" s="36">
        <f>ROUND(가정!$B$10*가정!$B$11^(A5-1),0)</f>
        <v/>
      </c>
      <c r="D5" s="36">
        <f>ROUNDUP(B5/C5,0)</f>
        <v/>
      </c>
      <c r="E5" s="36">
        <f>SUM($D$3:D5)</f>
        <v/>
      </c>
      <c r="F5" s="36">
        <f>D5*가정!$B$12</f>
        <v/>
      </c>
      <c r="G5" s="36">
        <f>ROUND(SUM($F$3:F5)/60,1)</f>
        <v/>
      </c>
      <c r="H5" s="36">
        <f>(A5-1)*가정!$B$6</f>
        <v/>
      </c>
      <c r="I5" s="36">
        <f>ROUND(가정!$B$14+H5*가정!$B$16*가정!$B$15,0)</f>
        <v/>
      </c>
      <c r="J5" s="36">
        <f>ROUND(가정!$B$19*가정!$B$20^(A5-1),0)</f>
        <v/>
      </c>
      <c r="K5" s="36">
        <f>ROUND(가정!$B$21*가정!$B$22^(A5-1),1)</f>
        <v/>
      </c>
      <c r="L5" s="36">
        <f>ROUND(가정!$B$17*I5^2/(I5+K5),1)</f>
        <v/>
      </c>
      <c r="M5" s="36">
        <f>ROUNDUP(J5/L5,0)</f>
        <v/>
      </c>
    </row>
    <row r="6" ht="15" customHeight="1" s="21">
      <c r="A6" s="36" t="n">
        <v>4</v>
      </c>
      <c r="B6" s="36">
        <f>ROUND(가정!$B$8*가정!$B$9^(A6-1),0)</f>
        <v/>
      </c>
      <c r="C6" s="36">
        <f>ROUND(가정!$B$10*가정!$B$11^(A6-1),0)</f>
        <v/>
      </c>
      <c r="D6" s="36">
        <f>ROUNDUP(B6/C6,0)</f>
        <v/>
      </c>
      <c r="E6" s="36">
        <f>SUM($D$3:D6)</f>
        <v/>
      </c>
      <c r="F6" s="36">
        <f>D6*가정!$B$12</f>
        <v/>
      </c>
      <c r="G6" s="36">
        <f>ROUND(SUM($F$3:F6)/60,1)</f>
        <v/>
      </c>
      <c r="H6" s="36">
        <f>(A6-1)*가정!$B$6</f>
        <v/>
      </c>
      <c r="I6" s="36">
        <f>ROUND(가정!$B$14+H6*가정!$B$16*가정!$B$15,0)</f>
        <v/>
      </c>
      <c r="J6" s="36">
        <f>ROUND(가정!$B$19*가정!$B$20^(A6-1),0)</f>
        <v/>
      </c>
      <c r="K6" s="36">
        <f>ROUND(가정!$B$21*가정!$B$22^(A6-1),1)</f>
        <v/>
      </c>
      <c r="L6" s="36">
        <f>ROUND(가정!$B$17*I6^2/(I6+K6),1)</f>
        <v/>
      </c>
      <c r="M6" s="36">
        <f>ROUNDUP(J6/L6,0)</f>
        <v/>
      </c>
    </row>
    <row r="7" ht="15" customHeight="1" s="21">
      <c r="A7" s="36" t="n">
        <v>5</v>
      </c>
      <c r="B7" s="36">
        <f>ROUND(가정!$B$8*가정!$B$9^(A7-1),0)</f>
        <v/>
      </c>
      <c r="C7" s="36">
        <f>ROUND(가정!$B$10*가정!$B$11^(A7-1),0)</f>
        <v/>
      </c>
      <c r="D7" s="36">
        <f>ROUNDUP(B7/C7,0)</f>
        <v/>
      </c>
      <c r="E7" s="36">
        <f>SUM($D$3:D7)</f>
        <v/>
      </c>
      <c r="F7" s="36">
        <f>D7*가정!$B$12</f>
        <v/>
      </c>
      <c r="G7" s="36">
        <f>ROUND(SUM($F$3:F7)/60,1)</f>
        <v/>
      </c>
      <c r="H7" s="36">
        <f>(A7-1)*가정!$B$6</f>
        <v/>
      </c>
      <c r="I7" s="36">
        <f>ROUND(가정!$B$14+H7*가정!$B$16*가정!$B$15,0)</f>
        <v/>
      </c>
      <c r="J7" s="36">
        <f>ROUND(가정!$B$19*가정!$B$20^(A7-1),0)</f>
        <v/>
      </c>
      <c r="K7" s="36">
        <f>ROUND(가정!$B$21*가정!$B$22^(A7-1),1)</f>
        <v/>
      </c>
      <c r="L7" s="36">
        <f>ROUND(가정!$B$17*I7^2/(I7+K7),1)</f>
        <v/>
      </c>
      <c r="M7" s="36">
        <f>ROUNDUP(J7/L7,0)</f>
        <v/>
      </c>
    </row>
    <row r="8" ht="15" customHeight="1" s="21">
      <c r="A8" s="36" t="n">
        <v>6</v>
      </c>
      <c r="B8" s="36">
        <f>ROUND(가정!$B$8*가정!$B$9^(A8-1),0)</f>
        <v/>
      </c>
      <c r="C8" s="36">
        <f>ROUND(가정!$B$10*가정!$B$11^(A8-1),0)</f>
        <v/>
      </c>
      <c r="D8" s="36">
        <f>ROUNDUP(B8/C8,0)</f>
        <v/>
      </c>
      <c r="E8" s="36">
        <f>SUM($D$3:D8)</f>
        <v/>
      </c>
      <c r="F8" s="36">
        <f>D8*가정!$B$12</f>
        <v/>
      </c>
      <c r="G8" s="36">
        <f>ROUND(SUM($F$3:F8)/60,1)</f>
        <v/>
      </c>
      <c r="H8" s="36">
        <f>(A8-1)*가정!$B$6</f>
        <v/>
      </c>
      <c r="I8" s="36">
        <f>ROUND(가정!$B$14+H8*가정!$B$16*가정!$B$15,0)</f>
        <v/>
      </c>
      <c r="J8" s="36">
        <f>ROUND(가정!$B$19*가정!$B$20^(A8-1),0)</f>
        <v/>
      </c>
      <c r="K8" s="36">
        <f>ROUND(가정!$B$21*가정!$B$22^(A8-1),1)</f>
        <v/>
      </c>
      <c r="L8" s="36">
        <f>ROUND(가정!$B$17*I8^2/(I8+K8),1)</f>
        <v/>
      </c>
      <c r="M8" s="36">
        <f>ROUNDUP(J8/L8,0)</f>
        <v/>
      </c>
    </row>
    <row r="9" ht="15" customHeight="1" s="21">
      <c r="A9" s="36" t="n">
        <v>7</v>
      </c>
      <c r="B9" s="36">
        <f>ROUND(가정!$B$8*가정!$B$9^(A9-1),0)</f>
        <v/>
      </c>
      <c r="C9" s="36">
        <f>ROUND(가정!$B$10*가정!$B$11^(A9-1),0)</f>
        <v/>
      </c>
      <c r="D9" s="36">
        <f>ROUNDUP(B9/C9,0)</f>
        <v/>
      </c>
      <c r="E9" s="36">
        <f>SUM($D$3:D9)</f>
        <v/>
      </c>
      <c r="F9" s="36">
        <f>D9*가정!$B$12</f>
        <v/>
      </c>
      <c r="G9" s="36">
        <f>ROUND(SUM($F$3:F9)/60,1)</f>
        <v/>
      </c>
      <c r="H9" s="36">
        <f>(A9-1)*가정!$B$6</f>
        <v/>
      </c>
      <c r="I9" s="36">
        <f>ROUND(가정!$B$14+H9*가정!$B$16*가정!$B$15,0)</f>
        <v/>
      </c>
      <c r="J9" s="36">
        <f>ROUND(가정!$B$19*가정!$B$20^(A9-1),0)</f>
        <v/>
      </c>
      <c r="K9" s="36">
        <f>ROUND(가정!$B$21*가정!$B$22^(A9-1),1)</f>
        <v/>
      </c>
      <c r="L9" s="36">
        <f>ROUND(가정!$B$17*I9^2/(I9+K9),1)</f>
        <v/>
      </c>
      <c r="M9" s="36">
        <f>ROUNDUP(J9/L9,0)</f>
        <v/>
      </c>
    </row>
    <row r="10" ht="15" customHeight="1" s="21">
      <c r="A10" s="36" t="n">
        <v>8</v>
      </c>
      <c r="B10" s="36">
        <f>ROUND(가정!$B$8*가정!$B$9^(A10-1),0)</f>
        <v/>
      </c>
      <c r="C10" s="36">
        <f>ROUND(가정!$B$10*가정!$B$11^(A10-1),0)</f>
        <v/>
      </c>
      <c r="D10" s="36">
        <f>ROUNDUP(B10/C10,0)</f>
        <v/>
      </c>
      <c r="E10" s="36">
        <f>SUM($D$3:D10)</f>
        <v/>
      </c>
      <c r="F10" s="36">
        <f>D10*가정!$B$12</f>
        <v/>
      </c>
      <c r="G10" s="36">
        <f>ROUND(SUM($F$3:F10)/60,1)</f>
        <v/>
      </c>
      <c r="H10" s="36">
        <f>(A10-1)*가정!$B$6</f>
        <v/>
      </c>
      <c r="I10" s="36">
        <f>ROUND(가정!$B$14+H10*가정!$B$16*가정!$B$15,0)</f>
        <v/>
      </c>
      <c r="J10" s="36">
        <f>ROUND(가정!$B$19*가정!$B$20^(A10-1),0)</f>
        <v/>
      </c>
      <c r="K10" s="36">
        <f>ROUND(가정!$B$21*가정!$B$22^(A10-1),1)</f>
        <v/>
      </c>
      <c r="L10" s="36">
        <f>ROUND(가정!$B$17*I10^2/(I10+K10),1)</f>
        <v/>
      </c>
      <c r="M10" s="36">
        <f>ROUNDUP(J10/L10,0)</f>
        <v/>
      </c>
    </row>
    <row r="11" ht="15" customHeight="1" s="21">
      <c r="A11" s="36" t="n">
        <v>9</v>
      </c>
      <c r="B11" s="36">
        <f>ROUND(가정!$B$8*가정!$B$9^(A11-1),0)</f>
        <v/>
      </c>
      <c r="C11" s="36">
        <f>ROUND(가정!$B$10*가정!$B$11^(A11-1),0)</f>
        <v/>
      </c>
      <c r="D11" s="36">
        <f>ROUNDUP(B11/C11,0)</f>
        <v/>
      </c>
      <c r="E11" s="36">
        <f>SUM($D$3:D11)</f>
        <v/>
      </c>
      <c r="F11" s="36">
        <f>D11*가정!$B$12</f>
        <v/>
      </c>
      <c r="G11" s="36">
        <f>ROUND(SUM($F$3:F11)/60,1)</f>
        <v/>
      </c>
      <c r="H11" s="36">
        <f>(A11-1)*가정!$B$6</f>
        <v/>
      </c>
      <c r="I11" s="36">
        <f>ROUND(가정!$B$14+H11*가정!$B$16*가정!$B$15,0)</f>
        <v/>
      </c>
      <c r="J11" s="36">
        <f>ROUND(가정!$B$19*가정!$B$20^(A11-1),0)</f>
        <v/>
      </c>
      <c r="K11" s="36">
        <f>ROUND(가정!$B$21*가정!$B$22^(A11-1),1)</f>
        <v/>
      </c>
      <c r="L11" s="36">
        <f>ROUND(가정!$B$17*I11^2/(I11+K11),1)</f>
        <v/>
      </c>
      <c r="M11" s="36">
        <f>ROUNDUP(J11/L11,0)</f>
        <v/>
      </c>
    </row>
    <row r="12" ht="15" customHeight="1" s="21">
      <c r="A12" s="36" t="n">
        <v>10</v>
      </c>
      <c r="B12" s="36">
        <f>ROUND(가정!$B$8*가정!$B$9^(A12-1),0)</f>
        <v/>
      </c>
      <c r="C12" s="36">
        <f>ROUND(가정!$B$10*가정!$B$11^(A12-1),0)</f>
        <v/>
      </c>
      <c r="D12" s="36">
        <f>ROUNDUP(B12/C12,0)</f>
        <v/>
      </c>
      <c r="E12" s="36">
        <f>SUM($D$3:D12)</f>
        <v/>
      </c>
      <c r="F12" s="36">
        <f>D12*가정!$B$12</f>
        <v/>
      </c>
      <c r="G12" s="36">
        <f>ROUND(SUM($F$3:F12)/60,1)</f>
        <v/>
      </c>
      <c r="H12" s="36">
        <f>(A12-1)*가정!$B$6</f>
        <v/>
      </c>
      <c r="I12" s="36">
        <f>ROUND(가정!$B$14+H12*가정!$B$16*가정!$B$15,0)</f>
        <v/>
      </c>
      <c r="J12" s="36">
        <f>ROUND(가정!$B$19*가정!$B$20^(A12-1),0)</f>
        <v/>
      </c>
      <c r="K12" s="36">
        <f>ROUND(가정!$B$21*가정!$B$22^(A12-1),1)</f>
        <v/>
      </c>
      <c r="L12" s="36">
        <f>ROUND(가정!$B$17*I12^2/(I12+K12),1)</f>
        <v/>
      </c>
      <c r="M12" s="36">
        <f>ROUNDUP(J12/L12,0)</f>
        <v/>
      </c>
    </row>
    <row r="13" ht="15" customHeight="1" s="21">
      <c r="A13" s="36" t="n">
        <v>11</v>
      </c>
      <c r="B13" s="36">
        <f>ROUND(가정!$B$8*가정!$B$9^(A13-1),0)</f>
        <v/>
      </c>
      <c r="C13" s="36">
        <f>ROUND(가정!$B$10*가정!$B$11^(A13-1),0)</f>
        <v/>
      </c>
      <c r="D13" s="36">
        <f>ROUNDUP(B13/C13,0)</f>
        <v/>
      </c>
      <c r="E13" s="36">
        <f>SUM($D$3:D13)</f>
        <v/>
      </c>
      <c r="F13" s="36">
        <f>D13*가정!$B$12</f>
        <v/>
      </c>
      <c r="G13" s="36">
        <f>ROUND(SUM($F$3:F13)/60,1)</f>
        <v/>
      </c>
      <c r="H13" s="36">
        <f>(A13-1)*가정!$B$6</f>
        <v/>
      </c>
      <c r="I13" s="36">
        <f>ROUND(가정!$B$14+H13*가정!$B$16*가정!$B$15,0)</f>
        <v/>
      </c>
      <c r="J13" s="36">
        <f>ROUND(가정!$B$19*가정!$B$20^(A13-1),0)</f>
        <v/>
      </c>
      <c r="K13" s="36">
        <f>ROUND(가정!$B$21*가정!$B$22^(A13-1),1)</f>
        <v/>
      </c>
      <c r="L13" s="36">
        <f>ROUND(가정!$B$17*I13^2/(I13+K13),1)</f>
        <v/>
      </c>
      <c r="M13" s="36">
        <f>ROUNDUP(J13/L13,0)</f>
        <v/>
      </c>
    </row>
    <row r="14" ht="15" customHeight="1" s="21">
      <c r="A14" s="36" t="n">
        <v>12</v>
      </c>
      <c r="B14" s="36">
        <f>ROUND(가정!$B$8*가정!$B$9^(A14-1),0)</f>
        <v/>
      </c>
      <c r="C14" s="36">
        <f>ROUND(가정!$B$10*가정!$B$11^(A14-1),0)</f>
        <v/>
      </c>
      <c r="D14" s="36">
        <f>ROUNDUP(B14/C14,0)</f>
        <v/>
      </c>
      <c r="E14" s="36">
        <f>SUM($D$3:D14)</f>
        <v/>
      </c>
      <c r="F14" s="36">
        <f>D14*가정!$B$12</f>
        <v/>
      </c>
      <c r="G14" s="36">
        <f>ROUND(SUM($F$3:F14)/60,1)</f>
        <v/>
      </c>
      <c r="H14" s="36">
        <f>(A14-1)*가정!$B$6</f>
        <v/>
      </c>
      <c r="I14" s="36">
        <f>ROUND(가정!$B$14+H14*가정!$B$16*가정!$B$15,0)</f>
        <v/>
      </c>
      <c r="J14" s="36">
        <f>ROUND(가정!$B$19*가정!$B$20^(A14-1),0)</f>
        <v/>
      </c>
      <c r="K14" s="36">
        <f>ROUND(가정!$B$21*가정!$B$22^(A14-1),1)</f>
        <v/>
      </c>
      <c r="L14" s="36">
        <f>ROUND(가정!$B$17*I14^2/(I14+K14),1)</f>
        <v/>
      </c>
      <c r="M14" s="36">
        <f>ROUNDUP(J14/L14,0)</f>
        <v/>
      </c>
    </row>
    <row r="15" ht="15" customHeight="1" s="21">
      <c r="A15" s="36" t="n">
        <v>13</v>
      </c>
      <c r="B15" s="36">
        <f>ROUND(가정!$B$8*가정!$B$9^(A15-1),0)</f>
        <v/>
      </c>
      <c r="C15" s="36">
        <f>ROUND(가정!$B$10*가정!$B$11^(A15-1),0)</f>
        <v/>
      </c>
      <c r="D15" s="36">
        <f>ROUNDUP(B15/C15,0)</f>
        <v/>
      </c>
      <c r="E15" s="36">
        <f>SUM($D$3:D15)</f>
        <v/>
      </c>
      <c r="F15" s="36">
        <f>D15*가정!$B$12</f>
        <v/>
      </c>
      <c r="G15" s="36">
        <f>ROUND(SUM($F$3:F15)/60,1)</f>
        <v/>
      </c>
      <c r="H15" s="36">
        <f>(A15-1)*가정!$B$6</f>
        <v/>
      </c>
      <c r="I15" s="36">
        <f>ROUND(가정!$B$14+H15*가정!$B$16*가정!$B$15,0)</f>
        <v/>
      </c>
      <c r="J15" s="36">
        <f>ROUND(가정!$B$19*가정!$B$20^(A15-1),0)</f>
        <v/>
      </c>
      <c r="K15" s="36">
        <f>ROUND(가정!$B$21*가정!$B$22^(A15-1),1)</f>
        <v/>
      </c>
      <c r="L15" s="36">
        <f>ROUND(가정!$B$17*I15^2/(I15+K15),1)</f>
        <v/>
      </c>
      <c r="M15" s="36">
        <f>ROUNDUP(J15/L15,0)</f>
        <v/>
      </c>
    </row>
    <row r="16" ht="15" customHeight="1" s="21">
      <c r="A16" s="36" t="n">
        <v>14</v>
      </c>
      <c r="B16" s="36">
        <f>ROUND(가정!$B$8*가정!$B$9^(A16-1),0)</f>
        <v/>
      </c>
      <c r="C16" s="36">
        <f>ROUND(가정!$B$10*가정!$B$11^(A16-1),0)</f>
        <v/>
      </c>
      <c r="D16" s="36">
        <f>ROUNDUP(B16/C16,0)</f>
        <v/>
      </c>
      <c r="E16" s="36">
        <f>SUM($D$3:D16)</f>
        <v/>
      </c>
      <c r="F16" s="36">
        <f>D16*가정!$B$12</f>
        <v/>
      </c>
      <c r="G16" s="36">
        <f>ROUND(SUM($F$3:F16)/60,1)</f>
        <v/>
      </c>
      <c r="H16" s="36">
        <f>(A16-1)*가정!$B$6</f>
        <v/>
      </c>
      <c r="I16" s="36">
        <f>ROUND(가정!$B$14+H16*가정!$B$16*가정!$B$15,0)</f>
        <v/>
      </c>
      <c r="J16" s="36">
        <f>ROUND(가정!$B$19*가정!$B$20^(A16-1),0)</f>
        <v/>
      </c>
      <c r="K16" s="36">
        <f>ROUND(가정!$B$21*가정!$B$22^(A16-1),1)</f>
        <v/>
      </c>
      <c r="L16" s="36">
        <f>ROUND(가정!$B$17*I16^2/(I16+K16),1)</f>
        <v/>
      </c>
      <c r="M16" s="36">
        <f>ROUNDUP(J16/L16,0)</f>
        <v/>
      </c>
    </row>
    <row r="17" ht="15" customHeight="1" s="21">
      <c r="A17" s="36" t="n">
        <v>15</v>
      </c>
      <c r="B17" s="36">
        <f>ROUND(가정!$B$8*가정!$B$9^(A17-1),0)</f>
        <v/>
      </c>
      <c r="C17" s="36">
        <f>ROUND(가정!$B$10*가정!$B$11^(A17-1),0)</f>
        <v/>
      </c>
      <c r="D17" s="36">
        <f>ROUNDUP(B17/C17,0)</f>
        <v/>
      </c>
      <c r="E17" s="36">
        <f>SUM($D$3:D17)</f>
        <v/>
      </c>
      <c r="F17" s="36">
        <f>D17*가정!$B$12</f>
        <v/>
      </c>
      <c r="G17" s="36">
        <f>ROUND(SUM($F$3:F17)/60,1)</f>
        <v/>
      </c>
      <c r="H17" s="36">
        <f>(A17-1)*가정!$B$6</f>
        <v/>
      </c>
      <c r="I17" s="36">
        <f>ROUND(가정!$B$14+H17*가정!$B$16*가정!$B$15,0)</f>
        <v/>
      </c>
      <c r="J17" s="36">
        <f>ROUND(가정!$B$19*가정!$B$20^(A17-1),0)</f>
        <v/>
      </c>
      <c r="K17" s="36">
        <f>ROUND(가정!$B$21*가정!$B$22^(A17-1),1)</f>
        <v/>
      </c>
      <c r="L17" s="36">
        <f>ROUND(가정!$B$17*I17^2/(I17+K17),1)</f>
        <v/>
      </c>
      <c r="M17" s="36">
        <f>ROUNDUP(J17/L17,0)</f>
        <v/>
      </c>
    </row>
    <row r="18" ht="15" customHeight="1" s="21">
      <c r="A18" s="36" t="n">
        <v>16</v>
      </c>
      <c r="B18" s="36">
        <f>ROUND(가정!$B$8*가정!$B$9^(A18-1),0)</f>
        <v/>
      </c>
      <c r="C18" s="36">
        <f>ROUND(가정!$B$10*가정!$B$11^(A18-1),0)</f>
        <v/>
      </c>
      <c r="D18" s="36">
        <f>ROUNDUP(B18/C18,0)</f>
        <v/>
      </c>
      <c r="E18" s="36">
        <f>SUM($D$3:D18)</f>
        <v/>
      </c>
      <c r="F18" s="36">
        <f>D18*가정!$B$12</f>
        <v/>
      </c>
      <c r="G18" s="36">
        <f>ROUND(SUM($F$3:F18)/60,1)</f>
        <v/>
      </c>
      <c r="H18" s="36">
        <f>(A18-1)*가정!$B$6</f>
        <v/>
      </c>
      <c r="I18" s="36">
        <f>ROUND(가정!$B$14+H18*가정!$B$16*가정!$B$15,0)</f>
        <v/>
      </c>
      <c r="J18" s="36">
        <f>ROUND(가정!$B$19*가정!$B$20^(A18-1),0)</f>
        <v/>
      </c>
      <c r="K18" s="36">
        <f>ROUND(가정!$B$21*가정!$B$22^(A18-1),1)</f>
        <v/>
      </c>
      <c r="L18" s="36">
        <f>ROUND(가정!$B$17*I18^2/(I18+K18),1)</f>
        <v/>
      </c>
      <c r="M18" s="36">
        <f>ROUNDUP(J18/L18,0)</f>
        <v/>
      </c>
    </row>
    <row r="19" ht="15" customHeight="1" s="21">
      <c r="A19" s="36" t="n">
        <v>17</v>
      </c>
      <c r="B19" s="36">
        <f>ROUND(가정!$B$8*가정!$B$9^(A19-1),0)</f>
        <v/>
      </c>
      <c r="C19" s="36">
        <f>ROUND(가정!$B$10*가정!$B$11^(A19-1),0)</f>
        <v/>
      </c>
      <c r="D19" s="36">
        <f>ROUNDUP(B19/C19,0)</f>
        <v/>
      </c>
      <c r="E19" s="36">
        <f>SUM($D$3:D19)</f>
        <v/>
      </c>
      <c r="F19" s="36">
        <f>D19*가정!$B$12</f>
        <v/>
      </c>
      <c r="G19" s="36">
        <f>ROUND(SUM($F$3:F19)/60,1)</f>
        <v/>
      </c>
      <c r="H19" s="36">
        <f>(A19-1)*가정!$B$6</f>
        <v/>
      </c>
      <c r="I19" s="36">
        <f>ROUND(가정!$B$14+H19*가정!$B$16*가정!$B$15,0)</f>
        <v/>
      </c>
      <c r="J19" s="36">
        <f>ROUND(가정!$B$19*가정!$B$20^(A19-1),0)</f>
        <v/>
      </c>
      <c r="K19" s="36">
        <f>ROUND(가정!$B$21*가정!$B$22^(A19-1),1)</f>
        <v/>
      </c>
      <c r="L19" s="36">
        <f>ROUND(가정!$B$17*I19^2/(I19+K19),1)</f>
        <v/>
      </c>
      <c r="M19" s="36">
        <f>ROUNDUP(J19/L19,0)</f>
        <v/>
      </c>
    </row>
    <row r="20" ht="15" customHeight="1" s="21">
      <c r="A20" s="36" t="n">
        <v>18</v>
      </c>
      <c r="B20" s="36">
        <f>ROUND(가정!$B$8*가정!$B$9^(A20-1),0)</f>
        <v/>
      </c>
      <c r="C20" s="36">
        <f>ROUND(가정!$B$10*가정!$B$11^(A20-1),0)</f>
        <v/>
      </c>
      <c r="D20" s="36">
        <f>ROUNDUP(B20/C20,0)</f>
        <v/>
      </c>
      <c r="E20" s="36">
        <f>SUM($D$3:D20)</f>
        <v/>
      </c>
      <c r="F20" s="36">
        <f>D20*가정!$B$12</f>
        <v/>
      </c>
      <c r="G20" s="36">
        <f>ROUND(SUM($F$3:F20)/60,1)</f>
        <v/>
      </c>
      <c r="H20" s="36">
        <f>(A20-1)*가정!$B$6</f>
        <v/>
      </c>
      <c r="I20" s="36">
        <f>ROUND(가정!$B$14+H20*가정!$B$16*가정!$B$15,0)</f>
        <v/>
      </c>
      <c r="J20" s="36">
        <f>ROUND(가정!$B$19*가정!$B$20^(A20-1),0)</f>
        <v/>
      </c>
      <c r="K20" s="36">
        <f>ROUND(가정!$B$21*가정!$B$22^(A20-1),1)</f>
        <v/>
      </c>
      <c r="L20" s="36">
        <f>ROUND(가정!$B$17*I20^2/(I20+K20),1)</f>
        <v/>
      </c>
      <c r="M20" s="36">
        <f>ROUNDUP(J20/L20,0)</f>
        <v/>
      </c>
    </row>
    <row r="21" ht="15" customHeight="1" s="21">
      <c r="A21" s="36" t="n">
        <v>19</v>
      </c>
      <c r="B21" s="36">
        <f>ROUND(가정!$B$8*가정!$B$9^(A21-1),0)</f>
        <v/>
      </c>
      <c r="C21" s="36">
        <f>ROUND(가정!$B$10*가정!$B$11^(A21-1),0)</f>
        <v/>
      </c>
      <c r="D21" s="36">
        <f>ROUNDUP(B21/C21,0)</f>
        <v/>
      </c>
      <c r="E21" s="36">
        <f>SUM($D$3:D21)</f>
        <v/>
      </c>
      <c r="F21" s="36">
        <f>D21*가정!$B$12</f>
        <v/>
      </c>
      <c r="G21" s="36">
        <f>ROUND(SUM($F$3:F21)/60,1)</f>
        <v/>
      </c>
      <c r="H21" s="36">
        <f>(A21-1)*가정!$B$6</f>
        <v/>
      </c>
      <c r="I21" s="36">
        <f>ROUND(가정!$B$14+H21*가정!$B$16*가정!$B$15,0)</f>
        <v/>
      </c>
      <c r="J21" s="36">
        <f>ROUND(가정!$B$19*가정!$B$20^(A21-1),0)</f>
        <v/>
      </c>
      <c r="K21" s="36">
        <f>ROUND(가정!$B$21*가정!$B$22^(A21-1),1)</f>
        <v/>
      </c>
      <c r="L21" s="36">
        <f>ROUND(가정!$B$17*I21^2/(I21+K21),1)</f>
        <v/>
      </c>
      <c r="M21" s="36">
        <f>ROUNDUP(J21/L21,0)</f>
        <v/>
      </c>
    </row>
    <row r="22" ht="15" customHeight="1" s="21">
      <c r="A22" s="36" t="n">
        <v>20</v>
      </c>
      <c r="B22" s="36">
        <f>ROUND(가정!$B$8*가정!$B$9^(A22-1),0)</f>
        <v/>
      </c>
      <c r="C22" s="36">
        <f>ROUND(가정!$B$10*가정!$B$11^(A22-1),0)</f>
        <v/>
      </c>
      <c r="D22" s="36">
        <f>ROUNDUP(B22/C22,0)</f>
        <v/>
      </c>
      <c r="E22" s="36">
        <f>SUM($D$3:D22)</f>
        <v/>
      </c>
      <c r="F22" s="36">
        <f>D22*가정!$B$12</f>
        <v/>
      </c>
      <c r="G22" s="36">
        <f>ROUND(SUM($F$3:F22)/60,1)</f>
        <v/>
      </c>
      <c r="H22" s="36">
        <f>(A22-1)*가정!$B$6</f>
        <v/>
      </c>
      <c r="I22" s="36">
        <f>ROUND(가정!$B$14+H22*가정!$B$16*가정!$B$15,0)</f>
        <v/>
      </c>
      <c r="J22" s="36">
        <f>ROUND(가정!$B$19*가정!$B$20^(A22-1),0)</f>
        <v/>
      </c>
      <c r="K22" s="36">
        <f>ROUND(가정!$B$21*가정!$B$22^(A22-1),1)</f>
        <v/>
      </c>
      <c r="L22" s="36">
        <f>ROUND(가정!$B$17*I22^2/(I22+K22),1)</f>
        <v/>
      </c>
      <c r="M22" s="36">
        <f>ROUNDUP(J22/L22,0)</f>
        <v/>
      </c>
    </row>
    <row r="23" ht="15" customHeight="1" s="21">
      <c r="A23" s="36" t="n">
        <v>21</v>
      </c>
      <c r="B23" s="36">
        <f>ROUND(가정!$B$8*가정!$B$9^(A23-1),0)</f>
        <v/>
      </c>
      <c r="C23" s="36">
        <f>ROUND(가정!$B$10*가정!$B$11^(A23-1),0)</f>
        <v/>
      </c>
      <c r="D23" s="36">
        <f>ROUNDUP(B23/C23,0)</f>
        <v/>
      </c>
      <c r="E23" s="36">
        <f>SUM($D$3:D23)</f>
        <v/>
      </c>
      <c r="F23" s="36">
        <f>D23*가정!$B$12</f>
        <v/>
      </c>
      <c r="G23" s="36">
        <f>ROUND(SUM($F$3:F23)/60,1)</f>
        <v/>
      </c>
      <c r="H23" s="36">
        <f>(A23-1)*가정!$B$6</f>
        <v/>
      </c>
      <c r="I23" s="36">
        <f>ROUND(가정!$B$14+H23*가정!$B$16*가정!$B$15,0)</f>
        <v/>
      </c>
      <c r="J23" s="36">
        <f>ROUND(가정!$B$19*가정!$B$20^(A23-1),0)</f>
        <v/>
      </c>
      <c r="K23" s="36">
        <f>ROUND(가정!$B$21*가정!$B$22^(A23-1),1)</f>
        <v/>
      </c>
      <c r="L23" s="36">
        <f>ROUND(가정!$B$17*I23^2/(I23+K23),1)</f>
        <v/>
      </c>
      <c r="M23" s="36">
        <f>ROUNDUP(J23/L23,0)</f>
        <v/>
      </c>
    </row>
    <row r="24" ht="15" customHeight="1" s="21">
      <c r="A24" s="36" t="n">
        <v>22</v>
      </c>
      <c r="B24" s="36">
        <f>ROUND(가정!$B$8*가정!$B$9^(A24-1),0)</f>
        <v/>
      </c>
      <c r="C24" s="36">
        <f>ROUND(가정!$B$10*가정!$B$11^(A24-1),0)</f>
        <v/>
      </c>
      <c r="D24" s="36">
        <f>ROUNDUP(B24/C24,0)</f>
        <v/>
      </c>
      <c r="E24" s="36">
        <f>SUM($D$3:D24)</f>
        <v/>
      </c>
      <c r="F24" s="36">
        <f>D24*가정!$B$12</f>
        <v/>
      </c>
      <c r="G24" s="36">
        <f>ROUND(SUM($F$3:F24)/60,1)</f>
        <v/>
      </c>
      <c r="H24" s="36">
        <f>(A24-1)*가정!$B$6</f>
        <v/>
      </c>
      <c r="I24" s="36">
        <f>ROUND(가정!$B$14+H24*가정!$B$16*가정!$B$15,0)</f>
        <v/>
      </c>
      <c r="J24" s="36">
        <f>ROUND(가정!$B$19*가정!$B$20^(A24-1),0)</f>
        <v/>
      </c>
      <c r="K24" s="36">
        <f>ROUND(가정!$B$21*가정!$B$22^(A24-1),1)</f>
        <v/>
      </c>
      <c r="L24" s="36">
        <f>ROUND(가정!$B$17*I24^2/(I24+K24),1)</f>
        <v/>
      </c>
      <c r="M24" s="36">
        <f>ROUNDUP(J24/L24,0)</f>
        <v/>
      </c>
    </row>
    <row r="25" ht="15" customHeight="1" s="21">
      <c r="A25" s="36" t="n">
        <v>23</v>
      </c>
      <c r="B25" s="36">
        <f>ROUND(가정!$B$8*가정!$B$9^(A25-1),0)</f>
        <v/>
      </c>
      <c r="C25" s="36">
        <f>ROUND(가정!$B$10*가정!$B$11^(A25-1),0)</f>
        <v/>
      </c>
      <c r="D25" s="36">
        <f>ROUNDUP(B25/C25,0)</f>
        <v/>
      </c>
      <c r="E25" s="36">
        <f>SUM($D$3:D25)</f>
        <v/>
      </c>
      <c r="F25" s="36">
        <f>D25*가정!$B$12</f>
        <v/>
      </c>
      <c r="G25" s="36">
        <f>ROUND(SUM($F$3:F25)/60,1)</f>
        <v/>
      </c>
      <c r="H25" s="36">
        <f>(A25-1)*가정!$B$6</f>
        <v/>
      </c>
      <c r="I25" s="36">
        <f>ROUND(가정!$B$14+H25*가정!$B$16*가정!$B$15,0)</f>
        <v/>
      </c>
      <c r="J25" s="36">
        <f>ROUND(가정!$B$19*가정!$B$20^(A25-1),0)</f>
        <v/>
      </c>
      <c r="K25" s="36">
        <f>ROUND(가정!$B$21*가정!$B$22^(A25-1),1)</f>
        <v/>
      </c>
      <c r="L25" s="36">
        <f>ROUND(가정!$B$17*I25^2/(I25+K25),1)</f>
        <v/>
      </c>
      <c r="M25" s="36">
        <f>ROUNDUP(J25/L25,0)</f>
        <v/>
      </c>
    </row>
    <row r="26" ht="15" customHeight="1" s="21">
      <c r="A26" s="36" t="n">
        <v>24</v>
      </c>
      <c r="B26" s="36">
        <f>ROUND(가정!$B$8*가정!$B$9^(A26-1),0)</f>
        <v/>
      </c>
      <c r="C26" s="36">
        <f>ROUND(가정!$B$10*가정!$B$11^(A26-1),0)</f>
        <v/>
      </c>
      <c r="D26" s="36">
        <f>ROUNDUP(B26/C26,0)</f>
        <v/>
      </c>
      <c r="E26" s="36">
        <f>SUM($D$3:D26)</f>
        <v/>
      </c>
      <c r="F26" s="36">
        <f>D26*가정!$B$12</f>
        <v/>
      </c>
      <c r="G26" s="36">
        <f>ROUND(SUM($F$3:F26)/60,1)</f>
        <v/>
      </c>
      <c r="H26" s="36">
        <f>(A26-1)*가정!$B$6</f>
        <v/>
      </c>
      <c r="I26" s="36">
        <f>ROUND(가정!$B$14+H26*가정!$B$16*가정!$B$15,0)</f>
        <v/>
      </c>
      <c r="J26" s="36">
        <f>ROUND(가정!$B$19*가정!$B$20^(A26-1),0)</f>
        <v/>
      </c>
      <c r="K26" s="36">
        <f>ROUND(가정!$B$21*가정!$B$22^(A26-1),1)</f>
        <v/>
      </c>
      <c r="L26" s="36">
        <f>ROUND(가정!$B$17*I26^2/(I26+K26),1)</f>
        <v/>
      </c>
      <c r="M26" s="36">
        <f>ROUNDUP(J26/L26,0)</f>
        <v/>
      </c>
    </row>
    <row r="27" ht="15" customHeight="1" s="21">
      <c r="A27" s="36" t="n">
        <v>25</v>
      </c>
      <c r="B27" s="36">
        <f>ROUND(가정!$B$8*가정!$B$9^(A27-1),0)</f>
        <v/>
      </c>
      <c r="C27" s="36">
        <f>ROUND(가정!$B$10*가정!$B$11^(A27-1),0)</f>
        <v/>
      </c>
      <c r="D27" s="36">
        <f>ROUNDUP(B27/C27,0)</f>
        <v/>
      </c>
      <c r="E27" s="36">
        <f>SUM($D$3:D27)</f>
        <v/>
      </c>
      <c r="F27" s="36">
        <f>D27*가정!$B$12</f>
        <v/>
      </c>
      <c r="G27" s="36">
        <f>ROUND(SUM($F$3:F27)/60,1)</f>
        <v/>
      </c>
      <c r="H27" s="36">
        <f>(A27-1)*가정!$B$6</f>
        <v/>
      </c>
      <c r="I27" s="36">
        <f>ROUND(가정!$B$14+H27*가정!$B$16*가정!$B$15,0)</f>
        <v/>
      </c>
      <c r="J27" s="36">
        <f>ROUND(가정!$B$19*가정!$B$20^(A27-1),0)</f>
        <v/>
      </c>
      <c r="K27" s="36">
        <f>ROUND(가정!$B$21*가정!$B$22^(A27-1),1)</f>
        <v/>
      </c>
      <c r="L27" s="36">
        <f>ROUND(가정!$B$17*I27^2/(I27+K27),1)</f>
        <v/>
      </c>
      <c r="M27" s="36">
        <f>ROUNDUP(J27/L27,0)</f>
        <v/>
      </c>
    </row>
    <row r="28" ht="15" customHeight="1" s="21">
      <c r="A28" s="36" t="n">
        <v>26</v>
      </c>
      <c r="B28" s="36">
        <f>ROUND(가정!$B$8*가정!$B$9^(A28-1),0)</f>
        <v/>
      </c>
      <c r="C28" s="36">
        <f>ROUND(가정!$B$10*가정!$B$11^(A28-1),0)</f>
        <v/>
      </c>
      <c r="D28" s="36">
        <f>ROUNDUP(B28/C28,0)</f>
        <v/>
      </c>
      <c r="E28" s="36">
        <f>SUM($D$3:D28)</f>
        <v/>
      </c>
      <c r="F28" s="36">
        <f>D28*가정!$B$12</f>
        <v/>
      </c>
      <c r="G28" s="36">
        <f>ROUND(SUM($F$3:F28)/60,1)</f>
        <v/>
      </c>
      <c r="H28" s="36">
        <f>(A28-1)*가정!$B$6</f>
        <v/>
      </c>
      <c r="I28" s="36">
        <f>ROUND(가정!$B$14+H28*가정!$B$16*가정!$B$15,0)</f>
        <v/>
      </c>
      <c r="J28" s="36">
        <f>ROUND(가정!$B$19*가정!$B$20^(A28-1),0)</f>
        <v/>
      </c>
      <c r="K28" s="36">
        <f>ROUND(가정!$B$21*가정!$B$22^(A28-1),1)</f>
        <v/>
      </c>
      <c r="L28" s="36">
        <f>ROUND(가정!$B$17*I28^2/(I28+K28),1)</f>
        <v/>
      </c>
      <c r="M28" s="36">
        <f>ROUNDUP(J28/L28,0)</f>
        <v/>
      </c>
    </row>
    <row r="29" ht="15" customHeight="1" s="21">
      <c r="A29" s="36" t="n">
        <v>27</v>
      </c>
      <c r="B29" s="36">
        <f>ROUND(가정!$B$8*가정!$B$9^(A29-1),0)</f>
        <v/>
      </c>
      <c r="C29" s="36">
        <f>ROUND(가정!$B$10*가정!$B$11^(A29-1),0)</f>
        <v/>
      </c>
      <c r="D29" s="36">
        <f>ROUNDUP(B29/C29,0)</f>
        <v/>
      </c>
      <c r="E29" s="36">
        <f>SUM($D$3:D29)</f>
        <v/>
      </c>
      <c r="F29" s="36">
        <f>D29*가정!$B$12</f>
        <v/>
      </c>
      <c r="G29" s="36">
        <f>ROUND(SUM($F$3:F29)/60,1)</f>
        <v/>
      </c>
      <c r="H29" s="36">
        <f>(A29-1)*가정!$B$6</f>
        <v/>
      </c>
      <c r="I29" s="36">
        <f>ROUND(가정!$B$14+H29*가정!$B$16*가정!$B$15,0)</f>
        <v/>
      </c>
      <c r="J29" s="36">
        <f>ROUND(가정!$B$19*가정!$B$20^(A29-1),0)</f>
        <v/>
      </c>
      <c r="K29" s="36">
        <f>ROUND(가정!$B$21*가정!$B$22^(A29-1),1)</f>
        <v/>
      </c>
      <c r="L29" s="36">
        <f>ROUND(가정!$B$17*I29^2/(I29+K29),1)</f>
        <v/>
      </c>
      <c r="M29" s="36">
        <f>ROUNDUP(J29/L29,0)</f>
        <v/>
      </c>
    </row>
    <row r="30" ht="15" customHeight="1" s="21">
      <c r="A30" s="36" t="n">
        <v>28</v>
      </c>
      <c r="B30" s="36">
        <f>ROUND(가정!$B$8*가정!$B$9^(A30-1),0)</f>
        <v/>
      </c>
      <c r="C30" s="36">
        <f>ROUND(가정!$B$10*가정!$B$11^(A30-1),0)</f>
        <v/>
      </c>
      <c r="D30" s="36">
        <f>ROUNDUP(B30/C30,0)</f>
        <v/>
      </c>
      <c r="E30" s="36">
        <f>SUM($D$3:D30)</f>
        <v/>
      </c>
      <c r="F30" s="36">
        <f>D30*가정!$B$12</f>
        <v/>
      </c>
      <c r="G30" s="36">
        <f>ROUND(SUM($F$3:F30)/60,1)</f>
        <v/>
      </c>
      <c r="H30" s="36">
        <f>(A30-1)*가정!$B$6</f>
        <v/>
      </c>
      <c r="I30" s="36">
        <f>ROUND(가정!$B$14+H30*가정!$B$16*가정!$B$15,0)</f>
        <v/>
      </c>
      <c r="J30" s="36">
        <f>ROUND(가정!$B$19*가정!$B$20^(A30-1),0)</f>
        <v/>
      </c>
      <c r="K30" s="36">
        <f>ROUND(가정!$B$21*가정!$B$22^(A30-1),1)</f>
        <v/>
      </c>
      <c r="L30" s="36">
        <f>ROUND(가정!$B$17*I30^2/(I30+K30),1)</f>
        <v/>
      </c>
      <c r="M30" s="36">
        <f>ROUNDUP(J30/L30,0)</f>
        <v/>
      </c>
    </row>
    <row r="31" ht="15" customHeight="1" s="21">
      <c r="A31" s="36" t="n">
        <v>29</v>
      </c>
      <c r="B31" s="36">
        <f>ROUND(가정!$B$8*가정!$B$9^(A31-1),0)</f>
        <v/>
      </c>
      <c r="C31" s="36">
        <f>ROUND(가정!$B$10*가정!$B$11^(A31-1),0)</f>
        <v/>
      </c>
      <c r="D31" s="36">
        <f>ROUNDUP(B31/C31,0)</f>
        <v/>
      </c>
      <c r="E31" s="36">
        <f>SUM($D$3:D31)</f>
        <v/>
      </c>
      <c r="F31" s="36">
        <f>D31*가정!$B$12</f>
        <v/>
      </c>
      <c r="G31" s="36">
        <f>ROUND(SUM($F$3:F31)/60,1)</f>
        <v/>
      </c>
      <c r="H31" s="36">
        <f>(A31-1)*가정!$B$6</f>
        <v/>
      </c>
      <c r="I31" s="36">
        <f>ROUND(가정!$B$14+H31*가정!$B$16*가정!$B$15,0)</f>
        <v/>
      </c>
      <c r="J31" s="36">
        <f>ROUND(가정!$B$19*가정!$B$20^(A31-1),0)</f>
        <v/>
      </c>
      <c r="K31" s="36">
        <f>ROUND(가정!$B$21*가정!$B$22^(A31-1),1)</f>
        <v/>
      </c>
      <c r="L31" s="36">
        <f>ROUND(가정!$B$17*I31^2/(I31+K31),1)</f>
        <v/>
      </c>
      <c r="M31" s="36">
        <f>ROUNDUP(J31/L31,0)</f>
        <v/>
      </c>
    </row>
    <row r="32" ht="15" customHeight="1" s="21">
      <c r="A32" s="37" t="n">
        <v>30</v>
      </c>
      <c r="B32" s="37">
        <f>ROUND(가정!$B$8*가정!$B$9^(A32-1),0)</f>
        <v/>
      </c>
      <c r="C32" s="37">
        <f>ROUND(가정!$B$10*가정!$B$11^(A32-1),0)</f>
        <v/>
      </c>
      <c r="D32" s="37">
        <f>ROUNDUP(B32/C32,0)</f>
        <v/>
      </c>
      <c r="E32" s="37">
        <f>SUM($D$3:D32)</f>
        <v/>
      </c>
      <c r="F32" s="37">
        <f>D32*가정!$B$12</f>
        <v/>
      </c>
      <c r="G32" s="37">
        <f>ROUND(SUM($F$3:F32)/60,1)</f>
        <v/>
      </c>
      <c r="H32" s="37">
        <f>(A32-1)*가정!$B$6</f>
        <v/>
      </c>
      <c r="I32" s="37">
        <f>ROUND(가정!$B$14+H32*가정!$B$16*가정!$B$15,0)</f>
        <v/>
      </c>
      <c r="J32" s="37">
        <f>ROUND(가정!$B$19*가정!$B$20^(A32-1),0)</f>
        <v/>
      </c>
      <c r="K32" s="37">
        <f>ROUND(가정!$B$21*가정!$B$22^(A32-1),1)</f>
        <v/>
      </c>
      <c r="L32" s="37">
        <f>ROUND(가정!$B$17*I32^2/(I32+K32),1)</f>
        <v/>
      </c>
      <c r="M32" s="37">
        <f>ROUNDUP(J32/L32,0)</f>
        <v/>
      </c>
    </row>
    <row r="33" ht="15" customHeight="1" s="21">
      <c r="A33" s="36" t="n">
        <v>31</v>
      </c>
      <c r="B33" s="36">
        <f>ROUND(가정!$B$8*가정!$B$9^(A33-1),0)</f>
        <v/>
      </c>
      <c r="C33" s="36">
        <f>ROUND(가정!$B$10*가정!$B$11^(A33-1),0)</f>
        <v/>
      </c>
      <c r="D33" s="36">
        <f>ROUNDUP(B33/C33,0)</f>
        <v/>
      </c>
      <c r="E33" s="36">
        <f>SUM($D$3:D33)</f>
        <v/>
      </c>
      <c r="F33" s="36">
        <f>D33*가정!$B$12</f>
        <v/>
      </c>
      <c r="G33" s="36">
        <f>ROUND(SUM($F$3:F33)/60,1)</f>
        <v/>
      </c>
      <c r="H33" s="36">
        <f>(A33-1)*가정!$B$6</f>
        <v/>
      </c>
      <c r="I33" s="36">
        <f>ROUND(가정!$B$14+H33*가정!$B$16*가정!$B$15,0)</f>
        <v/>
      </c>
      <c r="J33" s="36">
        <f>ROUND(가정!$B$19*가정!$B$20^(A33-1),0)</f>
        <v/>
      </c>
      <c r="K33" s="36">
        <f>ROUND(가정!$B$21*가정!$B$22^(A33-1),1)</f>
        <v/>
      </c>
      <c r="L33" s="36">
        <f>ROUND(가정!$B$17*I33^2/(I33+K33),1)</f>
        <v/>
      </c>
      <c r="M33" s="36">
        <f>ROUNDUP(J33/L33,0)</f>
        <v/>
      </c>
    </row>
    <row r="34" ht="15" customHeight="1" s="21">
      <c r="A34" s="36" t="n">
        <v>32</v>
      </c>
      <c r="B34" s="36">
        <f>ROUND(가정!$B$8*가정!$B$9^(A34-1),0)</f>
        <v/>
      </c>
      <c r="C34" s="36">
        <f>ROUND(가정!$B$10*가정!$B$11^(A34-1),0)</f>
        <v/>
      </c>
      <c r="D34" s="36">
        <f>ROUNDUP(B34/C34,0)</f>
        <v/>
      </c>
      <c r="E34" s="36">
        <f>SUM($D$3:D34)</f>
        <v/>
      </c>
      <c r="F34" s="36">
        <f>D34*가정!$B$12</f>
        <v/>
      </c>
      <c r="G34" s="36">
        <f>ROUND(SUM($F$3:F34)/60,1)</f>
        <v/>
      </c>
      <c r="H34" s="36">
        <f>(A34-1)*가정!$B$6</f>
        <v/>
      </c>
      <c r="I34" s="36">
        <f>ROUND(가정!$B$14+H34*가정!$B$16*가정!$B$15,0)</f>
        <v/>
      </c>
      <c r="J34" s="36">
        <f>ROUND(가정!$B$19*가정!$B$20^(A34-1),0)</f>
        <v/>
      </c>
      <c r="K34" s="36">
        <f>ROUND(가정!$B$21*가정!$B$22^(A34-1),1)</f>
        <v/>
      </c>
      <c r="L34" s="36">
        <f>ROUND(가정!$B$17*I34^2/(I34+K34),1)</f>
        <v/>
      </c>
      <c r="M34" s="36">
        <f>ROUNDUP(J34/L34,0)</f>
        <v/>
      </c>
    </row>
    <row r="35" ht="15" customHeight="1" s="21">
      <c r="A35" s="36" t="n">
        <v>33</v>
      </c>
      <c r="B35" s="36">
        <f>ROUND(가정!$B$8*가정!$B$9^(A35-1),0)</f>
        <v/>
      </c>
      <c r="C35" s="36">
        <f>ROUND(가정!$B$10*가정!$B$11^(A35-1),0)</f>
        <v/>
      </c>
      <c r="D35" s="36">
        <f>ROUNDUP(B35/C35,0)</f>
        <v/>
      </c>
      <c r="E35" s="36">
        <f>SUM($D$3:D35)</f>
        <v/>
      </c>
      <c r="F35" s="36">
        <f>D35*가정!$B$12</f>
        <v/>
      </c>
      <c r="G35" s="36">
        <f>ROUND(SUM($F$3:F35)/60,1)</f>
        <v/>
      </c>
      <c r="H35" s="36">
        <f>(A35-1)*가정!$B$6</f>
        <v/>
      </c>
      <c r="I35" s="36">
        <f>ROUND(가정!$B$14+H35*가정!$B$16*가정!$B$15,0)</f>
        <v/>
      </c>
      <c r="J35" s="36">
        <f>ROUND(가정!$B$19*가정!$B$20^(A35-1),0)</f>
        <v/>
      </c>
      <c r="K35" s="36">
        <f>ROUND(가정!$B$21*가정!$B$22^(A35-1),1)</f>
        <v/>
      </c>
      <c r="L35" s="36">
        <f>ROUND(가정!$B$17*I35^2/(I35+K35),1)</f>
        <v/>
      </c>
      <c r="M35" s="36">
        <f>ROUNDUP(J35/L35,0)</f>
        <v/>
      </c>
    </row>
    <row r="36" ht="15" customHeight="1" s="21">
      <c r="A36" s="36" t="n">
        <v>34</v>
      </c>
      <c r="B36" s="36">
        <f>ROUND(가정!$B$8*가정!$B$9^(A36-1),0)</f>
        <v/>
      </c>
      <c r="C36" s="36">
        <f>ROUND(가정!$B$10*가정!$B$11^(A36-1),0)</f>
        <v/>
      </c>
      <c r="D36" s="36">
        <f>ROUNDUP(B36/C36,0)</f>
        <v/>
      </c>
      <c r="E36" s="36">
        <f>SUM($D$3:D36)</f>
        <v/>
      </c>
      <c r="F36" s="36">
        <f>D36*가정!$B$12</f>
        <v/>
      </c>
      <c r="G36" s="36">
        <f>ROUND(SUM($F$3:F36)/60,1)</f>
        <v/>
      </c>
      <c r="H36" s="36">
        <f>(A36-1)*가정!$B$6</f>
        <v/>
      </c>
      <c r="I36" s="36">
        <f>ROUND(가정!$B$14+H36*가정!$B$16*가정!$B$15,0)</f>
        <v/>
      </c>
      <c r="J36" s="36">
        <f>ROUND(가정!$B$19*가정!$B$20^(A36-1),0)</f>
        <v/>
      </c>
      <c r="K36" s="36">
        <f>ROUND(가정!$B$21*가정!$B$22^(A36-1),1)</f>
        <v/>
      </c>
      <c r="L36" s="36">
        <f>ROUND(가정!$B$17*I36^2/(I36+K36),1)</f>
        <v/>
      </c>
      <c r="M36" s="36">
        <f>ROUNDUP(J36/L36,0)</f>
        <v/>
      </c>
    </row>
    <row r="37" ht="15" customHeight="1" s="21">
      <c r="A37" s="36" t="n">
        <v>35</v>
      </c>
      <c r="B37" s="36">
        <f>ROUND(가정!$B$8*가정!$B$9^(A37-1),0)</f>
        <v/>
      </c>
      <c r="C37" s="36">
        <f>ROUND(가정!$B$10*가정!$B$11^(A37-1),0)</f>
        <v/>
      </c>
      <c r="D37" s="36">
        <f>ROUNDUP(B37/C37,0)</f>
        <v/>
      </c>
      <c r="E37" s="36">
        <f>SUM($D$3:D37)</f>
        <v/>
      </c>
      <c r="F37" s="36">
        <f>D37*가정!$B$12</f>
        <v/>
      </c>
      <c r="G37" s="36">
        <f>ROUND(SUM($F$3:F37)/60,1)</f>
        <v/>
      </c>
      <c r="H37" s="36">
        <f>(A37-1)*가정!$B$6</f>
        <v/>
      </c>
      <c r="I37" s="36">
        <f>ROUND(가정!$B$14+H37*가정!$B$16*가정!$B$15,0)</f>
        <v/>
      </c>
      <c r="J37" s="36">
        <f>ROUND(가정!$B$19*가정!$B$20^(A37-1),0)</f>
        <v/>
      </c>
      <c r="K37" s="36">
        <f>ROUND(가정!$B$21*가정!$B$22^(A37-1),1)</f>
        <v/>
      </c>
      <c r="L37" s="36">
        <f>ROUND(가정!$B$17*I37^2/(I37+K37),1)</f>
        <v/>
      </c>
      <c r="M37" s="36">
        <f>ROUNDUP(J37/L37,0)</f>
        <v/>
      </c>
    </row>
    <row r="38" ht="15" customHeight="1" s="21">
      <c r="A38" s="36" t="n">
        <v>36</v>
      </c>
      <c r="B38" s="36">
        <f>ROUND(가정!$B$8*가정!$B$9^(A38-1),0)</f>
        <v/>
      </c>
      <c r="C38" s="36">
        <f>ROUND(가정!$B$10*가정!$B$11^(A38-1),0)</f>
        <v/>
      </c>
      <c r="D38" s="36">
        <f>ROUNDUP(B38/C38,0)</f>
        <v/>
      </c>
      <c r="E38" s="36">
        <f>SUM($D$3:D38)</f>
        <v/>
      </c>
      <c r="F38" s="36">
        <f>D38*가정!$B$12</f>
        <v/>
      </c>
      <c r="G38" s="36">
        <f>ROUND(SUM($F$3:F38)/60,1)</f>
        <v/>
      </c>
      <c r="H38" s="36">
        <f>(A38-1)*가정!$B$6</f>
        <v/>
      </c>
      <c r="I38" s="36">
        <f>ROUND(가정!$B$14+H38*가정!$B$16*가정!$B$15,0)</f>
        <v/>
      </c>
      <c r="J38" s="36">
        <f>ROUND(가정!$B$19*가정!$B$20^(A38-1),0)</f>
        <v/>
      </c>
      <c r="K38" s="36">
        <f>ROUND(가정!$B$21*가정!$B$22^(A38-1),1)</f>
        <v/>
      </c>
      <c r="L38" s="36">
        <f>ROUND(가정!$B$17*I38^2/(I38+K38),1)</f>
        <v/>
      </c>
      <c r="M38" s="36">
        <f>ROUNDUP(J38/L38,0)</f>
        <v/>
      </c>
    </row>
    <row r="39" ht="15" customHeight="1" s="21">
      <c r="A39" s="36" t="n">
        <v>37</v>
      </c>
      <c r="B39" s="36">
        <f>ROUND(가정!$B$8*가정!$B$9^(A39-1),0)</f>
        <v/>
      </c>
      <c r="C39" s="36">
        <f>ROUND(가정!$B$10*가정!$B$11^(A39-1),0)</f>
        <v/>
      </c>
      <c r="D39" s="36">
        <f>ROUNDUP(B39/C39,0)</f>
        <v/>
      </c>
      <c r="E39" s="36">
        <f>SUM($D$3:D39)</f>
        <v/>
      </c>
      <c r="F39" s="36">
        <f>D39*가정!$B$12</f>
        <v/>
      </c>
      <c r="G39" s="36">
        <f>ROUND(SUM($F$3:F39)/60,1)</f>
        <v/>
      </c>
      <c r="H39" s="36">
        <f>(A39-1)*가정!$B$6</f>
        <v/>
      </c>
      <c r="I39" s="36">
        <f>ROUND(가정!$B$14+H39*가정!$B$16*가정!$B$15,0)</f>
        <v/>
      </c>
      <c r="J39" s="36">
        <f>ROUND(가정!$B$19*가정!$B$20^(A39-1),0)</f>
        <v/>
      </c>
      <c r="K39" s="36">
        <f>ROUND(가정!$B$21*가정!$B$22^(A39-1),1)</f>
        <v/>
      </c>
      <c r="L39" s="36">
        <f>ROUND(가정!$B$17*I39^2/(I39+K39),1)</f>
        <v/>
      </c>
      <c r="M39" s="36">
        <f>ROUNDUP(J39/L39,0)</f>
        <v/>
      </c>
    </row>
    <row r="40" ht="15" customHeight="1" s="21">
      <c r="A40" s="36" t="n">
        <v>38</v>
      </c>
      <c r="B40" s="36">
        <f>ROUND(가정!$B$8*가정!$B$9^(A40-1),0)</f>
        <v/>
      </c>
      <c r="C40" s="36">
        <f>ROUND(가정!$B$10*가정!$B$11^(A40-1),0)</f>
        <v/>
      </c>
      <c r="D40" s="36">
        <f>ROUNDUP(B40/C40,0)</f>
        <v/>
      </c>
      <c r="E40" s="36">
        <f>SUM($D$3:D40)</f>
        <v/>
      </c>
      <c r="F40" s="36">
        <f>D40*가정!$B$12</f>
        <v/>
      </c>
      <c r="G40" s="36">
        <f>ROUND(SUM($F$3:F40)/60,1)</f>
        <v/>
      </c>
      <c r="H40" s="36">
        <f>(A40-1)*가정!$B$6</f>
        <v/>
      </c>
      <c r="I40" s="36">
        <f>ROUND(가정!$B$14+H40*가정!$B$16*가정!$B$15,0)</f>
        <v/>
      </c>
      <c r="J40" s="36">
        <f>ROUND(가정!$B$19*가정!$B$20^(A40-1),0)</f>
        <v/>
      </c>
      <c r="K40" s="36">
        <f>ROUND(가정!$B$21*가정!$B$22^(A40-1),1)</f>
        <v/>
      </c>
      <c r="L40" s="36">
        <f>ROUND(가정!$B$17*I40^2/(I40+K40),1)</f>
        <v/>
      </c>
      <c r="M40" s="36">
        <f>ROUNDUP(J40/L40,0)</f>
        <v/>
      </c>
    </row>
    <row r="41" ht="15" customHeight="1" s="21">
      <c r="A41" s="36" t="n">
        <v>39</v>
      </c>
      <c r="B41" s="36">
        <f>ROUND(가정!$B$8*가정!$B$9^(A41-1),0)</f>
        <v/>
      </c>
      <c r="C41" s="36">
        <f>ROUND(가정!$B$10*가정!$B$11^(A41-1),0)</f>
        <v/>
      </c>
      <c r="D41" s="36">
        <f>ROUNDUP(B41/C41,0)</f>
        <v/>
      </c>
      <c r="E41" s="36">
        <f>SUM($D$3:D41)</f>
        <v/>
      </c>
      <c r="F41" s="36">
        <f>D41*가정!$B$12</f>
        <v/>
      </c>
      <c r="G41" s="36">
        <f>ROUND(SUM($F$3:F41)/60,1)</f>
        <v/>
      </c>
      <c r="H41" s="36">
        <f>(A41-1)*가정!$B$6</f>
        <v/>
      </c>
      <c r="I41" s="36">
        <f>ROUND(가정!$B$14+H41*가정!$B$16*가정!$B$15,0)</f>
        <v/>
      </c>
      <c r="J41" s="36">
        <f>ROUND(가정!$B$19*가정!$B$20^(A41-1),0)</f>
        <v/>
      </c>
      <c r="K41" s="36">
        <f>ROUND(가정!$B$21*가정!$B$22^(A41-1),1)</f>
        <v/>
      </c>
      <c r="L41" s="36">
        <f>ROUND(가정!$B$17*I41^2/(I41+K41),1)</f>
        <v/>
      </c>
      <c r="M41" s="36">
        <f>ROUNDUP(J41/L41,0)</f>
        <v/>
      </c>
    </row>
    <row r="42" ht="15" customHeight="1" s="21">
      <c r="A42" s="36" t="n">
        <v>40</v>
      </c>
      <c r="B42" s="36">
        <f>ROUND(가정!$B$8*가정!$B$9^(A42-1),0)</f>
        <v/>
      </c>
      <c r="C42" s="36">
        <f>ROUND(가정!$B$10*가정!$B$11^(A42-1),0)</f>
        <v/>
      </c>
      <c r="D42" s="36">
        <f>ROUNDUP(B42/C42,0)</f>
        <v/>
      </c>
      <c r="E42" s="36">
        <f>SUM($D$3:D42)</f>
        <v/>
      </c>
      <c r="F42" s="36">
        <f>D42*가정!$B$12</f>
        <v/>
      </c>
      <c r="G42" s="36">
        <f>ROUND(SUM($F$3:F42)/60,1)</f>
        <v/>
      </c>
      <c r="H42" s="36">
        <f>(A42-1)*가정!$B$6</f>
        <v/>
      </c>
      <c r="I42" s="36">
        <f>ROUND(가정!$B$14+H42*가정!$B$16*가정!$B$15,0)</f>
        <v/>
      </c>
      <c r="J42" s="36">
        <f>ROUND(가정!$B$19*가정!$B$20^(A42-1),0)</f>
        <v/>
      </c>
      <c r="K42" s="36">
        <f>ROUND(가정!$B$21*가정!$B$22^(A42-1),1)</f>
        <v/>
      </c>
      <c r="L42" s="36">
        <f>ROUND(가정!$B$17*I42^2/(I42+K42),1)</f>
        <v/>
      </c>
      <c r="M42" s="36">
        <f>ROUNDUP(J42/L42,0)</f>
        <v/>
      </c>
    </row>
    <row r="43" ht="15" customHeight="1" s="21">
      <c r="A43" s="36" t="n">
        <v>41</v>
      </c>
      <c r="B43" s="36">
        <f>ROUND(가정!$B$8*가정!$B$9^(A43-1),0)</f>
        <v/>
      </c>
      <c r="C43" s="36">
        <f>ROUND(가정!$B$10*가정!$B$11^(A43-1),0)</f>
        <v/>
      </c>
      <c r="D43" s="36">
        <f>ROUNDUP(B43/C43,0)</f>
        <v/>
      </c>
      <c r="E43" s="36">
        <f>SUM($D$3:D43)</f>
        <v/>
      </c>
      <c r="F43" s="36">
        <f>D43*가정!$B$12</f>
        <v/>
      </c>
      <c r="G43" s="36">
        <f>ROUND(SUM($F$3:F43)/60,1)</f>
        <v/>
      </c>
      <c r="H43" s="36">
        <f>(A43-1)*가정!$B$6</f>
        <v/>
      </c>
      <c r="I43" s="36">
        <f>ROUND(가정!$B$14+H43*가정!$B$16*가정!$B$15,0)</f>
        <v/>
      </c>
      <c r="J43" s="36">
        <f>ROUND(가정!$B$19*가정!$B$20^(A43-1),0)</f>
        <v/>
      </c>
      <c r="K43" s="36">
        <f>ROUND(가정!$B$21*가정!$B$22^(A43-1),1)</f>
        <v/>
      </c>
      <c r="L43" s="36">
        <f>ROUND(가정!$B$17*I43^2/(I43+K43),1)</f>
        <v/>
      </c>
      <c r="M43" s="36">
        <f>ROUNDUP(J43/L43,0)</f>
        <v/>
      </c>
    </row>
    <row r="44" ht="15" customHeight="1" s="21">
      <c r="A44" s="36" t="n">
        <v>42</v>
      </c>
      <c r="B44" s="36">
        <f>ROUND(가정!$B$8*가정!$B$9^(A44-1),0)</f>
        <v/>
      </c>
      <c r="C44" s="36">
        <f>ROUND(가정!$B$10*가정!$B$11^(A44-1),0)</f>
        <v/>
      </c>
      <c r="D44" s="36">
        <f>ROUNDUP(B44/C44,0)</f>
        <v/>
      </c>
      <c r="E44" s="36">
        <f>SUM($D$3:D44)</f>
        <v/>
      </c>
      <c r="F44" s="36">
        <f>D44*가정!$B$12</f>
        <v/>
      </c>
      <c r="G44" s="36">
        <f>ROUND(SUM($F$3:F44)/60,1)</f>
        <v/>
      </c>
      <c r="H44" s="36">
        <f>(A44-1)*가정!$B$6</f>
        <v/>
      </c>
      <c r="I44" s="36">
        <f>ROUND(가정!$B$14+H44*가정!$B$16*가정!$B$15,0)</f>
        <v/>
      </c>
      <c r="J44" s="36">
        <f>ROUND(가정!$B$19*가정!$B$20^(A44-1),0)</f>
        <v/>
      </c>
      <c r="K44" s="36">
        <f>ROUND(가정!$B$21*가정!$B$22^(A44-1),1)</f>
        <v/>
      </c>
      <c r="L44" s="36">
        <f>ROUND(가정!$B$17*I44^2/(I44+K44),1)</f>
        <v/>
      </c>
      <c r="M44" s="36">
        <f>ROUNDUP(J44/L44,0)</f>
        <v/>
      </c>
    </row>
    <row r="45" ht="15" customHeight="1" s="21">
      <c r="A45" s="36" t="n">
        <v>43</v>
      </c>
      <c r="B45" s="36">
        <f>ROUND(가정!$B$8*가정!$B$9^(A45-1),0)</f>
        <v/>
      </c>
      <c r="C45" s="36">
        <f>ROUND(가정!$B$10*가정!$B$11^(A45-1),0)</f>
        <v/>
      </c>
      <c r="D45" s="36">
        <f>ROUNDUP(B45/C45,0)</f>
        <v/>
      </c>
      <c r="E45" s="36">
        <f>SUM($D$3:D45)</f>
        <v/>
      </c>
      <c r="F45" s="36">
        <f>D45*가정!$B$12</f>
        <v/>
      </c>
      <c r="G45" s="36">
        <f>ROUND(SUM($F$3:F45)/60,1)</f>
        <v/>
      </c>
      <c r="H45" s="36">
        <f>(A45-1)*가정!$B$6</f>
        <v/>
      </c>
      <c r="I45" s="36">
        <f>ROUND(가정!$B$14+H45*가정!$B$16*가정!$B$15,0)</f>
        <v/>
      </c>
      <c r="J45" s="36">
        <f>ROUND(가정!$B$19*가정!$B$20^(A45-1),0)</f>
        <v/>
      </c>
      <c r="K45" s="36">
        <f>ROUND(가정!$B$21*가정!$B$22^(A45-1),1)</f>
        <v/>
      </c>
      <c r="L45" s="36">
        <f>ROUND(가정!$B$17*I45^2/(I45+K45),1)</f>
        <v/>
      </c>
      <c r="M45" s="36">
        <f>ROUNDUP(J45/L45,0)</f>
        <v/>
      </c>
    </row>
    <row r="46" ht="15" customHeight="1" s="21">
      <c r="A46" s="36" t="n">
        <v>44</v>
      </c>
      <c r="B46" s="36">
        <f>ROUND(가정!$B$8*가정!$B$9^(A46-1),0)</f>
        <v/>
      </c>
      <c r="C46" s="36">
        <f>ROUND(가정!$B$10*가정!$B$11^(A46-1),0)</f>
        <v/>
      </c>
      <c r="D46" s="36">
        <f>ROUNDUP(B46/C46,0)</f>
        <v/>
      </c>
      <c r="E46" s="36">
        <f>SUM($D$3:D46)</f>
        <v/>
      </c>
      <c r="F46" s="36">
        <f>D46*가정!$B$12</f>
        <v/>
      </c>
      <c r="G46" s="36">
        <f>ROUND(SUM($F$3:F46)/60,1)</f>
        <v/>
      </c>
      <c r="H46" s="36">
        <f>(A46-1)*가정!$B$6</f>
        <v/>
      </c>
      <c r="I46" s="36">
        <f>ROUND(가정!$B$14+H46*가정!$B$16*가정!$B$15,0)</f>
        <v/>
      </c>
      <c r="J46" s="36">
        <f>ROUND(가정!$B$19*가정!$B$20^(A46-1),0)</f>
        <v/>
      </c>
      <c r="K46" s="36">
        <f>ROUND(가정!$B$21*가정!$B$22^(A46-1),1)</f>
        <v/>
      </c>
      <c r="L46" s="36">
        <f>ROUND(가정!$B$17*I46^2/(I46+K46),1)</f>
        <v/>
      </c>
      <c r="M46" s="36">
        <f>ROUNDUP(J46/L46,0)</f>
        <v/>
      </c>
    </row>
    <row r="47" ht="15" customHeight="1" s="21">
      <c r="A47" s="36" t="n">
        <v>45</v>
      </c>
      <c r="B47" s="36">
        <f>ROUND(가정!$B$8*가정!$B$9^(A47-1),0)</f>
        <v/>
      </c>
      <c r="C47" s="36">
        <f>ROUND(가정!$B$10*가정!$B$11^(A47-1),0)</f>
        <v/>
      </c>
      <c r="D47" s="36">
        <f>ROUNDUP(B47/C47,0)</f>
        <v/>
      </c>
      <c r="E47" s="36">
        <f>SUM($D$3:D47)</f>
        <v/>
      </c>
      <c r="F47" s="36">
        <f>D47*가정!$B$12</f>
        <v/>
      </c>
      <c r="G47" s="36">
        <f>ROUND(SUM($F$3:F47)/60,1)</f>
        <v/>
      </c>
      <c r="H47" s="36">
        <f>(A47-1)*가정!$B$6</f>
        <v/>
      </c>
      <c r="I47" s="36">
        <f>ROUND(가정!$B$14+H47*가정!$B$16*가정!$B$15,0)</f>
        <v/>
      </c>
      <c r="J47" s="36">
        <f>ROUND(가정!$B$19*가정!$B$20^(A47-1),0)</f>
        <v/>
      </c>
      <c r="K47" s="36">
        <f>ROUND(가정!$B$21*가정!$B$22^(A47-1),1)</f>
        <v/>
      </c>
      <c r="L47" s="36">
        <f>ROUND(가정!$B$17*I47^2/(I47+K47),1)</f>
        <v/>
      </c>
      <c r="M47" s="36">
        <f>ROUNDUP(J47/L47,0)</f>
        <v/>
      </c>
    </row>
    <row r="48" ht="15" customHeight="1" s="21">
      <c r="A48" s="36" t="n">
        <v>46</v>
      </c>
      <c r="B48" s="36">
        <f>ROUND(가정!$B$8*가정!$B$9^(A48-1),0)</f>
        <v/>
      </c>
      <c r="C48" s="36">
        <f>ROUND(가정!$B$10*가정!$B$11^(A48-1),0)</f>
        <v/>
      </c>
      <c r="D48" s="36">
        <f>ROUNDUP(B48/C48,0)</f>
        <v/>
      </c>
      <c r="E48" s="36">
        <f>SUM($D$3:D48)</f>
        <v/>
      </c>
      <c r="F48" s="36">
        <f>D48*가정!$B$12</f>
        <v/>
      </c>
      <c r="G48" s="36">
        <f>ROUND(SUM($F$3:F48)/60,1)</f>
        <v/>
      </c>
      <c r="H48" s="36">
        <f>(A48-1)*가정!$B$6</f>
        <v/>
      </c>
      <c r="I48" s="36">
        <f>ROUND(가정!$B$14+H48*가정!$B$16*가정!$B$15,0)</f>
        <v/>
      </c>
      <c r="J48" s="36">
        <f>ROUND(가정!$B$19*가정!$B$20^(A48-1),0)</f>
        <v/>
      </c>
      <c r="K48" s="36">
        <f>ROUND(가정!$B$21*가정!$B$22^(A48-1),1)</f>
        <v/>
      </c>
      <c r="L48" s="36">
        <f>ROUND(가정!$B$17*I48^2/(I48+K48),1)</f>
        <v/>
      </c>
      <c r="M48" s="36">
        <f>ROUNDUP(J48/L48,0)</f>
        <v/>
      </c>
    </row>
    <row r="49" ht="15" customHeight="1" s="21">
      <c r="A49" s="36" t="n">
        <v>47</v>
      </c>
      <c r="B49" s="36">
        <f>ROUND(가정!$B$8*가정!$B$9^(A49-1),0)</f>
        <v/>
      </c>
      <c r="C49" s="36">
        <f>ROUND(가정!$B$10*가정!$B$11^(A49-1),0)</f>
        <v/>
      </c>
      <c r="D49" s="36">
        <f>ROUNDUP(B49/C49,0)</f>
        <v/>
      </c>
      <c r="E49" s="36">
        <f>SUM($D$3:D49)</f>
        <v/>
      </c>
      <c r="F49" s="36">
        <f>D49*가정!$B$12</f>
        <v/>
      </c>
      <c r="G49" s="36">
        <f>ROUND(SUM($F$3:F49)/60,1)</f>
        <v/>
      </c>
      <c r="H49" s="36">
        <f>(A49-1)*가정!$B$6</f>
        <v/>
      </c>
      <c r="I49" s="36">
        <f>ROUND(가정!$B$14+H49*가정!$B$16*가정!$B$15,0)</f>
        <v/>
      </c>
      <c r="J49" s="36">
        <f>ROUND(가정!$B$19*가정!$B$20^(A49-1),0)</f>
        <v/>
      </c>
      <c r="K49" s="36">
        <f>ROUND(가정!$B$21*가정!$B$22^(A49-1),1)</f>
        <v/>
      </c>
      <c r="L49" s="36">
        <f>ROUND(가정!$B$17*I49^2/(I49+K49),1)</f>
        <v/>
      </c>
      <c r="M49" s="36">
        <f>ROUNDUP(J49/L49,0)</f>
        <v/>
      </c>
    </row>
    <row r="50" ht="15" customHeight="1" s="21">
      <c r="A50" s="36" t="n">
        <v>48</v>
      </c>
      <c r="B50" s="36">
        <f>ROUND(가정!$B$8*가정!$B$9^(A50-1),0)</f>
        <v/>
      </c>
      <c r="C50" s="36">
        <f>ROUND(가정!$B$10*가정!$B$11^(A50-1),0)</f>
        <v/>
      </c>
      <c r="D50" s="36">
        <f>ROUNDUP(B50/C50,0)</f>
        <v/>
      </c>
      <c r="E50" s="36">
        <f>SUM($D$3:D50)</f>
        <v/>
      </c>
      <c r="F50" s="36">
        <f>D50*가정!$B$12</f>
        <v/>
      </c>
      <c r="G50" s="36">
        <f>ROUND(SUM($F$3:F50)/60,1)</f>
        <v/>
      </c>
      <c r="H50" s="36">
        <f>(A50-1)*가정!$B$6</f>
        <v/>
      </c>
      <c r="I50" s="36">
        <f>ROUND(가정!$B$14+H50*가정!$B$16*가정!$B$15,0)</f>
        <v/>
      </c>
      <c r="J50" s="36">
        <f>ROUND(가정!$B$19*가정!$B$20^(A50-1),0)</f>
        <v/>
      </c>
      <c r="K50" s="36">
        <f>ROUND(가정!$B$21*가정!$B$22^(A50-1),1)</f>
        <v/>
      </c>
      <c r="L50" s="36">
        <f>ROUND(가정!$B$17*I50^2/(I50+K50),1)</f>
        <v/>
      </c>
      <c r="M50" s="36">
        <f>ROUNDUP(J50/L50,0)</f>
        <v/>
      </c>
    </row>
    <row r="51" ht="15" customHeight="1" s="21">
      <c r="A51" s="36" t="n">
        <v>49</v>
      </c>
      <c r="B51" s="36">
        <f>ROUND(가정!$B$8*가정!$B$9^(A51-1),0)</f>
        <v/>
      </c>
      <c r="C51" s="36">
        <f>ROUND(가정!$B$10*가정!$B$11^(A51-1),0)</f>
        <v/>
      </c>
      <c r="D51" s="36">
        <f>ROUNDUP(B51/C51,0)</f>
        <v/>
      </c>
      <c r="E51" s="36">
        <f>SUM($D$3:D51)</f>
        <v/>
      </c>
      <c r="F51" s="36">
        <f>D51*가정!$B$12</f>
        <v/>
      </c>
      <c r="G51" s="36">
        <f>ROUND(SUM($F$3:F51)/60,1)</f>
        <v/>
      </c>
      <c r="H51" s="36">
        <f>(A51-1)*가정!$B$6</f>
        <v/>
      </c>
      <c r="I51" s="36">
        <f>ROUND(가정!$B$14+H51*가정!$B$16*가정!$B$15,0)</f>
        <v/>
      </c>
      <c r="J51" s="36">
        <f>ROUND(가정!$B$19*가정!$B$20^(A51-1),0)</f>
        <v/>
      </c>
      <c r="K51" s="36">
        <f>ROUND(가정!$B$21*가정!$B$22^(A51-1),1)</f>
        <v/>
      </c>
      <c r="L51" s="36">
        <f>ROUND(가정!$B$17*I51^2/(I51+K51),1)</f>
        <v/>
      </c>
      <c r="M51" s="36">
        <f>ROUNDUP(J51/L51,0)</f>
        <v/>
      </c>
    </row>
    <row r="52" ht="15" customHeight="1" s="21">
      <c r="A52" s="36" t="n">
        <v>50</v>
      </c>
      <c r="B52" s="36">
        <f>ROUND(가정!$B$8*가정!$B$9^(A52-1),0)</f>
        <v/>
      </c>
      <c r="C52" s="36">
        <f>ROUND(가정!$B$10*가정!$B$11^(A52-1),0)</f>
        <v/>
      </c>
      <c r="D52" s="36">
        <f>ROUNDUP(B52/C52,0)</f>
        <v/>
      </c>
      <c r="E52" s="36">
        <f>SUM($D$3:D52)</f>
        <v/>
      </c>
      <c r="F52" s="36">
        <f>D52*가정!$B$12</f>
        <v/>
      </c>
      <c r="G52" s="36">
        <f>ROUND(SUM($F$3:F52)/60,1)</f>
        <v/>
      </c>
      <c r="H52" s="36">
        <f>(A52-1)*가정!$B$6</f>
        <v/>
      </c>
      <c r="I52" s="36">
        <f>ROUND(가정!$B$14+H52*가정!$B$16*가정!$B$15,0)</f>
        <v/>
      </c>
      <c r="J52" s="36">
        <f>ROUND(가정!$B$19*가정!$B$20^(A52-1),0)</f>
        <v/>
      </c>
      <c r="K52" s="36">
        <f>ROUND(가정!$B$21*가정!$B$22^(A52-1),1)</f>
        <v/>
      </c>
      <c r="L52" s="36">
        <f>ROUND(가정!$B$17*I52^2/(I52+K52),1)</f>
        <v/>
      </c>
      <c r="M52" s="36">
        <f>ROUNDUP(J52/L52,0)</f>
        <v/>
      </c>
    </row>
    <row r="53" ht="15" customHeight="1" s="21">
      <c r="A53" s="36" t="n">
        <v>51</v>
      </c>
      <c r="B53" s="36">
        <f>ROUND(가정!$B$8*가정!$B$9^(A53-1),0)</f>
        <v/>
      </c>
      <c r="C53" s="36">
        <f>ROUND(가정!$B$10*가정!$B$11^(A53-1),0)</f>
        <v/>
      </c>
      <c r="D53" s="36">
        <f>ROUNDUP(B53/C53,0)</f>
        <v/>
      </c>
      <c r="E53" s="36">
        <f>SUM($D$3:D53)</f>
        <v/>
      </c>
      <c r="F53" s="36">
        <f>D53*가정!$B$12</f>
        <v/>
      </c>
      <c r="G53" s="36">
        <f>ROUND(SUM($F$3:F53)/60,1)</f>
        <v/>
      </c>
      <c r="H53" s="36">
        <f>(A53-1)*가정!$B$6</f>
        <v/>
      </c>
      <c r="I53" s="36">
        <f>ROUND(가정!$B$14+H53*가정!$B$16*가정!$B$15,0)</f>
        <v/>
      </c>
      <c r="J53" s="36">
        <f>ROUND(가정!$B$19*가정!$B$20^(A53-1),0)</f>
        <v/>
      </c>
      <c r="K53" s="36">
        <f>ROUND(가정!$B$21*가정!$B$22^(A53-1),1)</f>
        <v/>
      </c>
      <c r="L53" s="36">
        <f>ROUND(가정!$B$17*I53^2/(I53+K53),1)</f>
        <v/>
      </c>
      <c r="M53" s="36">
        <f>ROUNDUP(J53/L53,0)</f>
        <v/>
      </c>
    </row>
    <row r="54" ht="15" customHeight="1" s="21">
      <c r="A54" s="36" t="n">
        <v>52</v>
      </c>
      <c r="B54" s="36">
        <f>ROUND(가정!$B$8*가정!$B$9^(A54-1),0)</f>
        <v/>
      </c>
      <c r="C54" s="36">
        <f>ROUND(가정!$B$10*가정!$B$11^(A54-1),0)</f>
        <v/>
      </c>
      <c r="D54" s="36">
        <f>ROUNDUP(B54/C54,0)</f>
        <v/>
      </c>
      <c r="E54" s="36">
        <f>SUM($D$3:D54)</f>
        <v/>
      </c>
      <c r="F54" s="36">
        <f>D54*가정!$B$12</f>
        <v/>
      </c>
      <c r="G54" s="36">
        <f>ROUND(SUM($F$3:F54)/60,1)</f>
        <v/>
      </c>
      <c r="H54" s="36">
        <f>(A54-1)*가정!$B$6</f>
        <v/>
      </c>
      <c r="I54" s="36">
        <f>ROUND(가정!$B$14+H54*가정!$B$16*가정!$B$15,0)</f>
        <v/>
      </c>
      <c r="J54" s="36">
        <f>ROUND(가정!$B$19*가정!$B$20^(A54-1),0)</f>
        <v/>
      </c>
      <c r="K54" s="36">
        <f>ROUND(가정!$B$21*가정!$B$22^(A54-1),1)</f>
        <v/>
      </c>
      <c r="L54" s="36">
        <f>ROUND(가정!$B$17*I54^2/(I54+K54),1)</f>
        <v/>
      </c>
      <c r="M54" s="36">
        <f>ROUNDUP(J54/L54,0)</f>
        <v/>
      </c>
    </row>
    <row r="55" ht="15" customHeight="1" s="21">
      <c r="A55" s="36" t="n">
        <v>53</v>
      </c>
      <c r="B55" s="36">
        <f>ROUND(가정!$B$8*가정!$B$9^(A55-1),0)</f>
        <v/>
      </c>
      <c r="C55" s="36">
        <f>ROUND(가정!$B$10*가정!$B$11^(A55-1),0)</f>
        <v/>
      </c>
      <c r="D55" s="36">
        <f>ROUNDUP(B55/C55,0)</f>
        <v/>
      </c>
      <c r="E55" s="36">
        <f>SUM($D$3:D55)</f>
        <v/>
      </c>
      <c r="F55" s="36">
        <f>D55*가정!$B$12</f>
        <v/>
      </c>
      <c r="G55" s="36">
        <f>ROUND(SUM($F$3:F55)/60,1)</f>
        <v/>
      </c>
      <c r="H55" s="36">
        <f>(A55-1)*가정!$B$6</f>
        <v/>
      </c>
      <c r="I55" s="36">
        <f>ROUND(가정!$B$14+H55*가정!$B$16*가정!$B$15,0)</f>
        <v/>
      </c>
      <c r="J55" s="36">
        <f>ROUND(가정!$B$19*가정!$B$20^(A55-1),0)</f>
        <v/>
      </c>
      <c r="K55" s="36">
        <f>ROUND(가정!$B$21*가정!$B$22^(A55-1),1)</f>
        <v/>
      </c>
      <c r="L55" s="36">
        <f>ROUND(가정!$B$17*I55^2/(I55+K55),1)</f>
        <v/>
      </c>
      <c r="M55" s="36">
        <f>ROUNDUP(J55/L55,0)</f>
        <v/>
      </c>
    </row>
    <row r="56" ht="15" customHeight="1" s="21">
      <c r="A56" s="36" t="n">
        <v>54</v>
      </c>
      <c r="B56" s="36">
        <f>ROUND(가정!$B$8*가정!$B$9^(A56-1),0)</f>
        <v/>
      </c>
      <c r="C56" s="36">
        <f>ROUND(가정!$B$10*가정!$B$11^(A56-1),0)</f>
        <v/>
      </c>
      <c r="D56" s="36">
        <f>ROUNDUP(B56/C56,0)</f>
        <v/>
      </c>
      <c r="E56" s="36">
        <f>SUM($D$3:D56)</f>
        <v/>
      </c>
      <c r="F56" s="36">
        <f>D56*가정!$B$12</f>
        <v/>
      </c>
      <c r="G56" s="36">
        <f>ROUND(SUM($F$3:F56)/60,1)</f>
        <v/>
      </c>
      <c r="H56" s="36">
        <f>(A56-1)*가정!$B$6</f>
        <v/>
      </c>
      <c r="I56" s="36">
        <f>ROUND(가정!$B$14+H56*가정!$B$16*가정!$B$15,0)</f>
        <v/>
      </c>
      <c r="J56" s="36">
        <f>ROUND(가정!$B$19*가정!$B$20^(A56-1),0)</f>
        <v/>
      </c>
      <c r="K56" s="36">
        <f>ROUND(가정!$B$21*가정!$B$22^(A56-1),1)</f>
        <v/>
      </c>
      <c r="L56" s="36">
        <f>ROUND(가정!$B$17*I56^2/(I56+K56),1)</f>
        <v/>
      </c>
      <c r="M56" s="36">
        <f>ROUNDUP(J56/L56,0)</f>
        <v/>
      </c>
    </row>
    <row r="57" ht="15" customHeight="1" s="21">
      <c r="A57" s="36" t="n">
        <v>55</v>
      </c>
      <c r="B57" s="36">
        <f>ROUND(가정!$B$8*가정!$B$9^(A57-1),0)</f>
        <v/>
      </c>
      <c r="C57" s="36">
        <f>ROUND(가정!$B$10*가정!$B$11^(A57-1),0)</f>
        <v/>
      </c>
      <c r="D57" s="36">
        <f>ROUNDUP(B57/C57,0)</f>
        <v/>
      </c>
      <c r="E57" s="36">
        <f>SUM($D$3:D57)</f>
        <v/>
      </c>
      <c r="F57" s="36">
        <f>D57*가정!$B$12</f>
        <v/>
      </c>
      <c r="G57" s="36">
        <f>ROUND(SUM($F$3:F57)/60,1)</f>
        <v/>
      </c>
      <c r="H57" s="36">
        <f>(A57-1)*가정!$B$6</f>
        <v/>
      </c>
      <c r="I57" s="36">
        <f>ROUND(가정!$B$14+H57*가정!$B$16*가정!$B$15,0)</f>
        <v/>
      </c>
      <c r="J57" s="36">
        <f>ROUND(가정!$B$19*가정!$B$20^(A57-1),0)</f>
        <v/>
      </c>
      <c r="K57" s="36">
        <f>ROUND(가정!$B$21*가정!$B$22^(A57-1),1)</f>
        <v/>
      </c>
      <c r="L57" s="36">
        <f>ROUND(가정!$B$17*I57^2/(I57+K57),1)</f>
        <v/>
      </c>
      <c r="M57" s="36">
        <f>ROUNDUP(J57/L57,0)</f>
        <v/>
      </c>
    </row>
    <row r="58" ht="15" customHeight="1" s="21">
      <c r="A58" s="36" t="n">
        <v>56</v>
      </c>
      <c r="B58" s="36">
        <f>ROUND(가정!$B$8*가정!$B$9^(A58-1),0)</f>
        <v/>
      </c>
      <c r="C58" s="36">
        <f>ROUND(가정!$B$10*가정!$B$11^(A58-1),0)</f>
        <v/>
      </c>
      <c r="D58" s="36">
        <f>ROUNDUP(B58/C58,0)</f>
        <v/>
      </c>
      <c r="E58" s="36">
        <f>SUM($D$3:D58)</f>
        <v/>
      </c>
      <c r="F58" s="36">
        <f>D58*가정!$B$12</f>
        <v/>
      </c>
      <c r="G58" s="36">
        <f>ROUND(SUM($F$3:F58)/60,1)</f>
        <v/>
      </c>
      <c r="H58" s="36">
        <f>(A58-1)*가정!$B$6</f>
        <v/>
      </c>
      <c r="I58" s="36">
        <f>ROUND(가정!$B$14+H58*가정!$B$16*가정!$B$15,0)</f>
        <v/>
      </c>
      <c r="J58" s="36">
        <f>ROUND(가정!$B$19*가정!$B$20^(A58-1),0)</f>
        <v/>
      </c>
      <c r="K58" s="36">
        <f>ROUND(가정!$B$21*가정!$B$22^(A58-1),1)</f>
        <v/>
      </c>
      <c r="L58" s="36">
        <f>ROUND(가정!$B$17*I58^2/(I58+K58),1)</f>
        <v/>
      </c>
      <c r="M58" s="36">
        <f>ROUNDUP(J58/L58,0)</f>
        <v/>
      </c>
    </row>
    <row r="59" ht="15" customHeight="1" s="21">
      <c r="A59" s="36" t="n">
        <v>57</v>
      </c>
      <c r="B59" s="36">
        <f>ROUND(가정!$B$8*가정!$B$9^(A59-1),0)</f>
        <v/>
      </c>
      <c r="C59" s="36">
        <f>ROUND(가정!$B$10*가정!$B$11^(A59-1),0)</f>
        <v/>
      </c>
      <c r="D59" s="36">
        <f>ROUNDUP(B59/C59,0)</f>
        <v/>
      </c>
      <c r="E59" s="36">
        <f>SUM($D$3:D59)</f>
        <v/>
      </c>
      <c r="F59" s="36">
        <f>D59*가정!$B$12</f>
        <v/>
      </c>
      <c r="G59" s="36">
        <f>ROUND(SUM($F$3:F59)/60,1)</f>
        <v/>
      </c>
      <c r="H59" s="36">
        <f>(A59-1)*가정!$B$6</f>
        <v/>
      </c>
      <c r="I59" s="36">
        <f>ROUND(가정!$B$14+H59*가정!$B$16*가정!$B$15,0)</f>
        <v/>
      </c>
      <c r="J59" s="36">
        <f>ROUND(가정!$B$19*가정!$B$20^(A59-1),0)</f>
        <v/>
      </c>
      <c r="K59" s="36">
        <f>ROUND(가정!$B$21*가정!$B$22^(A59-1),1)</f>
        <v/>
      </c>
      <c r="L59" s="36">
        <f>ROUND(가정!$B$17*I59^2/(I59+K59),1)</f>
        <v/>
      </c>
      <c r="M59" s="36">
        <f>ROUNDUP(J59/L59,0)</f>
        <v/>
      </c>
    </row>
    <row r="60" ht="15" customHeight="1" s="21">
      <c r="A60" s="36" t="n">
        <v>58</v>
      </c>
      <c r="B60" s="36">
        <f>ROUND(가정!$B$8*가정!$B$9^(A60-1),0)</f>
        <v/>
      </c>
      <c r="C60" s="36">
        <f>ROUND(가정!$B$10*가정!$B$11^(A60-1),0)</f>
        <v/>
      </c>
      <c r="D60" s="36">
        <f>ROUNDUP(B60/C60,0)</f>
        <v/>
      </c>
      <c r="E60" s="36">
        <f>SUM($D$3:D60)</f>
        <v/>
      </c>
      <c r="F60" s="36">
        <f>D60*가정!$B$12</f>
        <v/>
      </c>
      <c r="G60" s="36">
        <f>ROUND(SUM($F$3:F60)/60,1)</f>
        <v/>
      </c>
      <c r="H60" s="36">
        <f>(A60-1)*가정!$B$6</f>
        <v/>
      </c>
      <c r="I60" s="36">
        <f>ROUND(가정!$B$14+H60*가정!$B$16*가정!$B$15,0)</f>
        <v/>
      </c>
      <c r="J60" s="36">
        <f>ROUND(가정!$B$19*가정!$B$20^(A60-1),0)</f>
        <v/>
      </c>
      <c r="K60" s="36">
        <f>ROUND(가정!$B$21*가정!$B$22^(A60-1),1)</f>
        <v/>
      </c>
      <c r="L60" s="36">
        <f>ROUND(가정!$B$17*I60^2/(I60+K60),1)</f>
        <v/>
      </c>
      <c r="M60" s="36">
        <f>ROUNDUP(J60/L60,0)</f>
        <v/>
      </c>
    </row>
    <row r="61" ht="15" customHeight="1" s="21">
      <c r="A61" s="36" t="n">
        <v>59</v>
      </c>
      <c r="B61" s="36">
        <f>ROUND(가정!$B$8*가정!$B$9^(A61-1),0)</f>
        <v/>
      </c>
      <c r="C61" s="36">
        <f>ROUND(가정!$B$10*가정!$B$11^(A61-1),0)</f>
        <v/>
      </c>
      <c r="D61" s="36">
        <f>ROUNDUP(B61/C61,0)</f>
        <v/>
      </c>
      <c r="E61" s="36">
        <f>SUM($D$3:D61)</f>
        <v/>
      </c>
      <c r="F61" s="36">
        <f>D61*가정!$B$12</f>
        <v/>
      </c>
      <c r="G61" s="36">
        <f>ROUND(SUM($F$3:F61)/60,1)</f>
        <v/>
      </c>
      <c r="H61" s="36">
        <f>(A61-1)*가정!$B$6</f>
        <v/>
      </c>
      <c r="I61" s="36">
        <f>ROUND(가정!$B$14+H61*가정!$B$16*가정!$B$15,0)</f>
        <v/>
      </c>
      <c r="J61" s="36">
        <f>ROUND(가정!$B$19*가정!$B$20^(A61-1),0)</f>
        <v/>
      </c>
      <c r="K61" s="36">
        <f>ROUND(가정!$B$21*가정!$B$22^(A61-1),1)</f>
        <v/>
      </c>
      <c r="L61" s="36">
        <f>ROUND(가정!$B$17*I61^2/(I61+K61),1)</f>
        <v/>
      </c>
      <c r="M61" s="36">
        <f>ROUNDUP(J61/L61,0)</f>
        <v/>
      </c>
    </row>
    <row r="62" ht="15" customHeight="1" s="21">
      <c r="A62" s="36" t="n">
        <v>60</v>
      </c>
      <c r="B62" s="36">
        <f>ROUND(가정!$B$8*가정!$B$9^(A62-1),0)</f>
        <v/>
      </c>
      <c r="C62" s="36">
        <f>ROUND(가정!$B$10*가정!$B$11^(A62-1),0)</f>
        <v/>
      </c>
      <c r="D62" s="36">
        <f>ROUNDUP(B62/C62,0)</f>
        <v/>
      </c>
      <c r="E62" s="36">
        <f>SUM($D$3:D62)</f>
        <v/>
      </c>
      <c r="F62" s="36">
        <f>D62*가정!$B$12</f>
        <v/>
      </c>
      <c r="G62" s="36">
        <f>ROUND(SUM($F$3:F62)/60,1)</f>
        <v/>
      </c>
      <c r="H62" s="36">
        <f>(A62-1)*가정!$B$6</f>
        <v/>
      </c>
      <c r="I62" s="36">
        <f>ROUND(가정!$B$14+H62*가정!$B$16*가정!$B$15,0)</f>
        <v/>
      </c>
      <c r="J62" s="36">
        <f>ROUND(가정!$B$19*가정!$B$20^(A62-1),0)</f>
        <v/>
      </c>
      <c r="K62" s="36">
        <f>ROUND(가정!$B$21*가정!$B$22^(A62-1),1)</f>
        <v/>
      </c>
      <c r="L62" s="36">
        <f>ROUND(가정!$B$17*I62^2/(I62+K62),1)</f>
        <v/>
      </c>
      <c r="M62" s="36">
        <f>ROUNDUP(J62/L62,0)</f>
        <v/>
      </c>
    </row>
    <row r="64" ht="15" customHeight="1" s="21">
      <c r="A64" s="22" t="inlineStr">
        <is>
          <t>체크 지표</t>
        </is>
      </c>
    </row>
    <row r="65" ht="17.15" customHeight="1" s="21">
      <c r="A65" s="20" t="inlineStr">
        <is>
          <t>1회차(캡까지) 총 시간(분)</t>
        </is>
      </c>
      <c r="B65" s="23">
        <f>G32</f>
        <v/>
      </c>
    </row>
    <row r="66" ht="17.15" customHeight="1" s="21">
      <c r="A66" s="20" t="inlineStr">
        <is>
          <t>1회차 세션 수 (세션 길이 기준)</t>
        </is>
      </c>
      <c r="B66" s="20">
        <f>ROUND(B65/가정!$B$4,1)</f>
        <v/>
      </c>
    </row>
    <row r="67" ht="15" customHeight="1" s="21">
      <c r="A67" s="25" t="inlineStr">
        <is>
          <t>목표: 2~3세션. 벗어나면 [처치당 시간]·[몬스터 EXP]·[캡]을 조절</t>
        </is>
      </c>
    </row>
    <row r="68" ht="15" customHeight="1" s="21">
      <c r="A68" s="25" t="inlineStr">
        <is>
          <t>처치 타수 흐름: Lv1 대비 캡에서 2배 이내 권장. 벗어나면 [HP 공비] 조절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style="21" min="1" max="1"/>
    <col width="14" customWidth="1" style="21" min="2" max="2"/>
    <col width="8" customWidth="1" style="21" min="3" max="3"/>
    <col width="14" customWidth="1" style="21" min="4" max="4"/>
    <col width="6" customWidth="1" style="21" min="5" max="5"/>
    <col width="8" customWidth="1" style="21" min="6" max="6"/>
    <col width="8" customWidth="1" style="21" min="7" max="7"/>
    <col width="8" customWidth="1" style="21" min="8" max="8"/>
    <col width="14" customWidth="1" style="21" min="9" max="9"/>
    <col width="56" customWidth="1" style="21" min="10" max="10"/>
    <col width="14" customWidth="1" style="21" min="11" max="11"/>
    <col width="14" customWidth="1" style="21" min="12" max="12"/>
  </cols>
  <sheetData>
    <row r="1">
      <c r="A1" s="30" t="inlineStr">
        <is>
          <t>방별 몬스터 계단 (T9-4 결정) — 파란색 = 설계 입력 / 신규 몬스터 배치는 초안</t>
        </is>
      </c>
    </row>
    <row r="2">
      <c r="J2" s="33" t="inlineStr">
        <is>
          <t>↓ 레벨당 ATK 투자 P (입력)</t>
        </is>
      </c>
      <c r="K2" s="32" t="n">
        <v>5</v>
      </c>
      <c r="L2" s="32" t="n">
        <v>2</v>
      </c>
    </row>
    <row r="3">
      <c r="A3" s="30" t="inlineStr">
        <is>
          <t>방</t>
        </is>
      </c>
      <c r="B3" s="30" t="inlineStr">
        <is>
          <t>이름</t>
        </is>
      </c>
      <c r="C3" s="30" t="inlineStr">
        <is>
          <t>타입</t>
        </is>
      </c>
      <c r="D3" s="30" t="inlineStr">
        <is>
          <t>몬스터</t>
        </is>
      </c>
      <c r="E3" s="30" t="inlineStr">
        <is>
          <t>Lv</t>
        </is>
      </c>
      <c r="F3" s="30" t="inlineStr">
        <is>
          <t>HP</t>
        </is>
      </c>
      <c r="G3" s="30" t="inlineStr">
        <is>
          <t>DEF</t>
        </is>
      </c>
      <c r="H3" s="30" t="inlineStr">
        <is>
          <t>EXP</t>
        </is>
      </c>
      <c r="I3" s="30" t="inlineStr">
        <is>
          <t>1타 필요 ATK</t>
        </is>
      </c>
      <c r="J3" s="30" t="inlineStr">
        <is>
          <t>비고</t>
        </is>
      </c>
      <c r="K3" s="30" t="inlineStr">
        <is>
          <t>공격형 1타 Lv</t>
        </is>
      </c>
      <c r="L3" s="30" t="inlineStr">
        <is>
          <t>균형형 1타 Lv</t>
        </is>
      </c>
    </row>
    <row r="4">
      <c r="A4" s="31" t="inlineStr">
        <is>
          <t>r_01</t>
        </is>
      </c>
      <c r="B4" s="31" t="inlineStr">
        <is>
          <t>시작 숲길</t>
        </is>
      </c>
      <c r="C4" s="31" t="inlineStr">
        <is>
          <t>hunt</t>
        </is>
      </c>
      <c r="D4" s="31" t="inlineStr">
        <is>
          <t>초록 슬라임</t>
        </is>
      </c>
      <c r="E4" s="32" t="n">
        <v>1</v>
      </c>
      <c r="F4" s="38">
        <f>ROUND(가정!$B$19*가정!$B$20^(E4-1),0)</f>
        <v/>
      </c>
      <c r="G4" s="38">
        <f>ROUND(가정!$B$21*가정!$B$22^(E4-1),1)</f>
        <v/>
      </c>
      <c r="H4" s="38">
        <f>ROUND(가정!$B$10*가정!$B$11^(E4-1),0)</f>
        <v/>
      </c>
      <c r="I4" s="38">
        <f>ROUNDUP((F4/가정!$B$17+SQRT((F4/가정!$B$17)^2+4*(F4/가정!$B$17)*G4))/2,0)</f>
        <v/>
      </c>
      <c r="J4" s="33" t="inlineStr">
        <is>
          <t>1회차 시작. 여기서 첫 포획이 난다</t>
        </is>
      </c>
      <c r="K4" s="38">
        <f>IF(I4&lt;=가정!$B$14,1,IF(ROUNDUP((I4-가정!$B$14)/(K$2*가정!$B$15),0)+1&gt;가정!$B$5,"캡 내 불가",ROUNDUP((I4-가정!$B$14)/(K$2*가정!$B$15),0)+1))</f>
        <v/>
      </c>
      <c r="L4" s="38">
        <f>IF(I4&lt;=가정!$B$14,1,IF(ROUNDUP((I4-가정!$B$14)/(L$2*가정!$B$15),0)+1&gt;가정!$B$5,"캡 내 불가",ROUNDUP((I4-가정!$B$14)/(L$2*가정!$B$15),0)+1))</f>
        <v/>
      </c>
    </row>
    <row r="5">
      <c r="A5" s="31" t="inlineStr">
        <is>
          <t>r_02</t>
        </is>
      </c>
      <c r="B5" s="31" t="inlineStr">
        <is>
          <t>이끼 낀 관문</t>
        </is>
      </c>
      <c r="C5" s="31" t="inlineStr">
        <is>
          <t>gate</t>
        </is>
      </c>
      <c r="D5" s="31" t="inlineStr">
        <is>
          <t>초록 슬라임</t>
        </is>
      </c>
      <c r="E5" s="32" t="n">
        <v>3</v>
      </c>
      <c r="F5" s="38">
        <f>ROUND(가정!$B$19*가정!$B$20^(E5-1),0)</f>
        <v/>
      </c>
      <c r="G5" s="38">
        <f>ROUND(가정!$B$21*가정!$B$22^(E5-1),1)</f>
        <v/>
      </c>
      <c r="H5" s="38">
        <f>ROUND(가정!$B$10*가정!$B$11^(E5-1),0)</f>
        <v/>
      </c>
      <c r="I5" s="38">
        <f>ROUNDUP((F5/가정!$B$17+SQRT((F5/가정!$B$17)^2+4*(F5/가정!$B$17)*G5))/2,0)</f>
        <v/>
      </c>
      <c r="J5" s="33" t="inlineStr">
        <is>
          <t>ATK 20 스탯 게이트. 몬스터는 살짝만 올린다</t>
        </is>
      </c>
      <c r="K5" s="38">
        <f>IF(I5&lt;=가정!$B$14,1,IF(ROUNDUP((I5-가정!$B$14)/(K$2*가정!$B$15),0)+1&gt;가정!$B$5,"캡 내 불가",ROUNDUP((I5-가정!$B$14)/(K$2*가정!$B$15),0)+1))</f>
        <v/>
      </c>
      <c r="L5" s="38">
        <f>IF(I5&lt;=가정!$B$14,1,IF(ROUNDUP((I5-가정!$B$14)/(L$2*가정!$B$15),0)+1&gt;가정!$B$5,"캡 내 불가",ROUNDUP((I5-가정!$B$14)/(L$2*가정!$B$15),0)+1))</f>
        <v/>
      </c>
    </row>
    <row r="6">
      <c r="A6" s="31" t="inlineStr">
        <is>
          <t>r_03</t>
        </is>
      </c>
      <c r="B6" s="31" t="inlineStr">
        <is>
          <t>무너진 서고</t>
        </is>
      </c>
      <c r="C6" s="31" t="inlineStr">
        <is>
          <t>hunt</t>
        </is>
      </c>
      <c r="D6" s="31" t="inlineStr">
        <is>
          <t>주황 버섯</t>
        </is>
      </c>
      <c r="E6" s="32" t="n">
        <v>8</v>
      </c>
      <c r="F6" s="38">
        <f>ROUND(가정!$B$19*가정!$B$20^(E6-1),0)</f>
        <v/>
      </c>
      <c r="G6" s="38">
        <f>ROUND(가정!$B$21*가정!$B$22^(E6-1),1)</f>
        <v/>
      </c>
      <c r="H6" s="38">
        <f>ROUND(가정!$B$10*가정!$B$11^(E6-1),0)</f>
        <v/>
      </c>
      <c r="I6" s="38">
        <f>ROUNDUP((F6/가정!$B$17+SQRT((F6/가정!$B$17)^2+4*(F6/가정!$B$17)*G6))/2,0)</f>
        <v/>
      </c>
      <c r="J6" s="33" t="inlineStr">
        <is>
          <t>열쇠=돌진 → 2회차 이상 전용 (기획서 4.4)</t>
        </is>
      </c>
      <c r="K6" s="38">
        <f>IF(I6&lt;=가정!$B$14,1,IF(ROUNDUP((I6-가정!$B$14)/(K$2*가정!$B$15),0)+1&gt;가정!$B$5,"캡 내 불가",ROUNDUP((I6-가정!$B$14)/(K$2*가정!$B$15),0)+1))</f>
        <v/>
      </c>
      <c r="L6" s="38">
        <f>IF(I6&lt;=가정!$B$14,1,IF(ROUNDUP((I6-가정!$B$14)/(L$2*가정!$B$15),0)+1&gt;가정!$B$5,"캡 내 불가",ROUNDUP((I6-가정!$B$14)/(L$2*가정!$B$15),0)+1))</f>
        <v/>
      </c>
    </row>
    <row r="7">
      <c r="A7" s="31" t="inlineStr">
        <is>
          <t>r_04</t>
        </is>
      </c>
      <c r="B7" s="31" t="inlineStr">
        <is>
          <t>돌무덤 길</t>
        </is>
      </c>
      <c r="C7" s="31" t="inlineStr">
        <is>
          <t>hunt</t>
        </is>
      </c>
      <c r="D7" s="31" t="inlineStr">
        <is>
          <t>[신규 1종]</t>
        </is>
      </c>
      <c r="E7" s="32" t="n">
        <v>12</v>
      </c>
      <c r="F7" s="38">
        <f>ROUND(가정!$B$19*가정!$B$20^(E7-1),0)</f>
        <v/>
      </c>
      <c r="G7" s="38">
        <f>ROUND(가정!$B$21*가정!$B$22^(E7-1),1)</f>
        <v/>
      </c>
      <c r="H7" s="38">
        <f>ROUND(가정!$B$10*가정!$B$11^(E7-1),0)</f>
        <v/>
      </c>
      <c r="I7" s="38">
        <f>ROUNDUP((F7/가정!$B$17+SQRT((F7/가정!$B$17)^2+4*(F7/가정!$B$17)*G7))/2,0)</f>
        <v/>
      </c>
      <c r="J7" s="33" t="inlineStr">
        <is>
          <t>초안: LUK 목표를 여기 둔다. 1회차에 닿는 가장 깊은 사냥방</t>
        </is>
      </c>
      <c r="K7" s="38">
        <f>IF(I7&lt;=가정!$B$14,1,IF(ROUNDUP((I7-가정!$B$14)/(K$2*가정!$B$15),0)+1&gt;가정!$B$5,"캡 내 불가",ROUNDUP((I7-가정!$B$14)/(K$2*가정!$B$15),0)+1))</f>
        <v/>
      </c>
      <c r="L7" s="38">
        <f>IF(I7&lt;=가정!$B$14,1,IF(ROUNDUP((I7-가정!$B$14)/(L$2*가정!$B$15),0)+1&gt;가정!$B$5,"캡 내 불가",ROUNDUP((I7-가정!$B$14)/(L$2*가정!$B$15),0)+1))</f>
        <v/>
      </c>
    </row>
    <row r="8">
      <c r="A8" s="31" t="inlineStr">
        <is>
          <t>r_05</t>
        </is>
      </c>
      <c r="B8" s="31" t="inlineStr">
        <is>
          <t>석상의 방</t>
        </is>
      </c>
      <c r="C8" s="31" t="inlineStr">
        <is>
          <t>boss</t>
        </is>
      </c>
      <c r="D8" s="31" t="inlineStr">
        <is>
          <t>돌 정령</t>
        </is>
      </c>
      <c r="E8" s="32" t="n">
        <v>15</v>
      </c>
      <c r="F8" s="38">
        <f>ROUND(가정!$B$19*가정!$B$20^(E8-1),0)</f>
        <v/>
      </c>
      <c r="G8" s="38">
        <f>ROUND(가정!$B$21*가정!$B$22^(E8-1),1)</f>
        <v/>
      </c>
      <c r="H8" s="38">
        <f>ROUND(가정!$B$10*가정!$B$11^(E8-1),0)</f>
        <v/>
      </c>
      <c r="I8" s="38">
        <f>ROUNDUP((F8/가정!$B$17+SQRT((F8/가정!$B$17)^2+4*(F8/가정!$B$17)*G8))/2,0)</f>
        <v/>
      </c>
      <c r="J8" s="33" t="inlineStr">
        <is>
          <t>회차당 1마리 (T9-1). 포획이 LUK에 가장 민감한 자리</t>
        </is>
      </c>
      <c r="K8" s="38">
        <f>IF(I8&lt;=가정!$B$14,1,IF(ROUNDUP((I8-가정!$B$14)/(K$2*가정!$B$15),0)+1&gt;가정!$B$5,"캡 내 불가",ROUNDUP((I8-가정!$B$14)/(K$2*가정!$B$15),0)+1))</f>
        <v/>
      </c>
      <c r="L8" s="38">
        <f>IF(I8&lt;=가정!$B$14,1,IF(ROUNDUP((I8-가정!$B$14)/(L$2*가정!$B$15),0)+1&gt;가정!$B$5,"캡 내 불가",ROUNDUP((I8-가정!$B$14)/(L$2*가정!$B$15),0)+1))</f>
        <v/>
      </c>
    </row>
    <row r="10">
      <c r="A10" s="33" t="inlineStr">
        <is>
          <t>v0.1 대비: 상시 몬스터가 Lv5에서 멈춰 후반 632킬(시트 가정의 3.9배)이 됐다. 계단으로 되돌린다.</t>
        </is>
      </c>
    </row>
    <row r="11">
      <c r="A11" s="33" t="inlineStr">
        <is>
          <t>1타 필요 ATK = 그 몬스터를 한 방에 잡는 ATK. 이 값을 넘으면 스탯을 더 올려도 사냥이 안 빨라진다.</t>
        </is>
      </c>
    </row>
    <row r="12">
      <c r="A12" s="33" t="inlineStr">
        <is>
          <t>⚠ r_04의 신규 몬스터는 종류·스프라이트·스킬 미정. 배치만 초안으로 잡아 둔 것 — 구현 태스크에서 확정할 것.</t>
        </is>
      </c>
    </row>
    <row r="13">
      <c r="A13" s="33" t="inlineStr">
        <is>
          <t>효과: v0.1에서는 ATK 45(Lv8)에 모든 방이 1타가 돼 그 위 22레벨이 무의미했다. 계단을 넣으면 공격형도 보스 1타가 Lv18로 밀리고, 균형형은 캡까지 도달하지 못한다 — 빌드 차이가 캡까지 유지된다.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style="21" min="1" max="1"/>
    <col width="28" customWidth="1" style="21" min="2" max="2"/>
    <col width="26" customWidth="1" style="21" min="3" max="3"/>
    <col width="14" customWidth="1" style="21" min="4" max="4"/>
    <col width="52" customWidth="1" style="21" min="5" max="5"/>
  </cols>
  <sheetData>
    <row r="1">
      <c r="A1" s="30" t="inlineStr">
        <is>
          <t>T9 통짜 런 실측 (2026-08-07~08) — 시트 예측과의 대조</t>
        </is>
      </c>
    </row>
    <row r="3">
      <c r="A3" s="30" t="inlineStr">
        <is>
          <t>항목</t>
        </is>
      </c>
      <c r="B3" s="30" t="inlineStr">
        <is>
          <t>시트 v0.1 예측</t>
        </is>
      </c>
      <c r="C3" s="30" t="inlineStr">
        <is>
          <t>T9 실측</t>
        </is>
      </c>
      <c r="D3" s="30" t="inlineStr">
        <is>
          <t>판정</t>
        </is>
      </c>
      <c r="E3" s="30" t="inlineStr">
        <is>
          <t>비고</t>
        </is>
      </c>
    </row>
    <row r="4">
      <c r="A4" s="31" t="inlineStr">
        <is>
          <t>Lv1→2 소요</t>
        </is>
      </c>
      <c r="B4" s="31" t="inlineStr">
        <is>
          <t>40초</t>
        </is>
      </c>
      <c r="C4" s="31" t="inlineStr">
        <is>
          <t>11.8초</t>
        </is>
      </c>
      <c r="D4" s="31" t="inlineStr">
        <is>
          <t>빠름</t>
        </is>
      </c>
      <c r="E4" s="33" t="inlineStr">
        <is>
          <t>이동 제외, 자동 공격만</t>
        </is>
      </c>
    </row>
    <row r="5">
      <c r="A5" s="31" t="inlineStr">
        <is>
          <t>ATK 20 게이트 도달</t>
        </is>
      </c>
      <c r="B5" s="31" t="inlineStr">
        <is>
          <t>약 32초 (Lv3)</t>
        </is>
      </c>
      <c r="C5" s="31" t="inlineStr">
        <is>
          <t>26.7초</t>
        </is>
      </c>
      <c r="D5" s="31" t="inlineStr">
        <is>
          <t>±20% 이내 OK</t>
        </is>
      </c>
      <c r="E5" s="33" t="inlineStr">
        <is>
          <t>T4 완료 조건 통과</t>
        </is>
      </c>
    </row>
    <row r="6">
      <c r="A6" s="31" t="inlineStr">
        <is>
          <t>Lv30까지 총 킬</t>
        </is>
      </c>
      <c r="B6" s="31" t="inlineStr">
        <is>
          <t>164킬 (동레벨 몬스터 가정)</t>
        </is>
      </c>
      <c r="C6" s="31" t="inlineStr">
        <is>
          <t>632킬</t>
        </is>
      </c>
      <c r="D6" s="31" t="inlineStr">
        <is>
          <t>3.9배 초과</t>
        </is>
      </c>
      <c r="E6" s="33" t="inlineStr">
        <is>
          <t>상시 몬스터가 Lv5에서 멈춤 → 결정 2로 교정</t>
        </is>
      </c>
    </row>
    <row r="7">
      <c r="A7" s="31" t="inlineStr">
        <is>
          <t>Lv30까지 순수 전투</t>
        </is>
      </c>
      <c r="B7" s="31" t="inlineStr">
        <is>
          <t>27분</t>
        </is>
      </c>
      <c r="C7" s="31" t="inlineStr">
        <is>
          <t>11.1분</t>
        </is>
      </c>
      <c r="D7" s="31" t="inlineStr">
        <is>
          <t>빠름</t>
        </is>
      </c>
      <c r="E7" s="33" t="inlineStr">
        <is>
          <t>리필 대기 제외한 값</t>
        </is>
      </c>
    </row>
    <row r="8">
      <c r="A8" s="31" t="inlineStr">
        <is>
          <t>보스 격파</t>
        </is>
      </c>
      <c r="B8" s="31" t="inlineStr">
        <is>
          <t>-</t>
        </is>
      </c>
      <c r="C8" s="31" t="inlineStr">
        <is>
          <t>5.1초 (5타)</t>
        </is>
      </c>
      <c r="D8" s="31" t="inlineStr">
        <is>
          <t>-</t>
        </is>
      </c>
      <c r="E8" s="33" t="inlineStr">
        <is>
          <t>돌 정령 HP65 @ATK20</t>
        </is>
      </c>
    </row>
    <row r="9">
      <c r="A9" s="31" t="inlineStr">
        <is>
          <t>사냥 속도 상한</t>
        </is>
      </c>
      <c r="B9" s="31" t="inlineStr">
        <is>
          <t>없음(가정)</t>
        </is>
      </c>
      <c r="C9" s="31" t="inlineStr">
        <is>
          <t>ATK 45 = Lv8</t>
        </is>
      </c>
      <c r="D9" s="31" t="inlineStr">
        <is>
          <t>설계 이탈</t>
        </is>
      </c>
      <c r="E9" s="33" t="inlineStr">
        <is>
          <t>1타가 되면 그 위는 무효 → 결정 2로 교정</t>
        </is>
      </c>
    </row>
    <row r="10">
      <c r="A10" s="31" t="inlineStr">
        <is>
          <t>빌드 3종 시간차</t>
        </is>
      </c>
      <c r="B10" s="31" t="inlineStr">
        <is>
          <t>타수 4 vs 8</t>
        </is>
      </c>
      <c r="C10" s="31" t="inlineStr">
        <is>
          <t>11.1 vs 12.5분 (12%)</t>
        </is>
      </c>
      <c r="D10" s="31" t="inlineStr">
        <is>
          <t>수렴</t>
        </is>
      </c>
      <c r="E10" s="33" t="inlineStr">
        <is>
          <t>Lv20부터 셋이 완전히 동일</t>
        </is>
      </c>
    </row>
    <row r="11">
      <c r="A11" s="31" t="inlineStr">
        <is>
          <t>포획 첫 성공</t>
        </is>
      </c>
      <c r="B11" s="31" t="inlineStr">
        <is>
          <t>기대 33킬</t>
        </is>
      </c>
      <c r="C11" s="31" t="inlineStr">
        <is>
          <t>기대 23.5킬 / 실측 8킬</t>
        </is>
      </c>
      <c r="D11" s="31" t="inlineStr">
        <is>
          <t>일치</t>
        </is>
      </c>
      <c r="E11" s="33" t="inlineStr">
        <is>
          <t>천장 40 반영 시 기댓값</t>
        </is>
      </c>
    </row>
    <row r="12">
      <c r="A12" s="31" t="inlineStr">
        <is>
          <t>DEF 효과</t>
        </is>
      </c>
      <c r="B12" s="31" t="inlineStr">
        <is>
          <t>밸런스형 44P 배분</t>
        </is>
      </c>
      <c r="C12" s="31" t="inlineStr">
        <is>
          <t>전투에서 미사용</t>
        </is>
      </c>
      <c r="D12" s="31" t="inlineStr">
        <is>
          <t>미구현</t>
        </is>
      </c>
      <c r="E12" s="33" t="inlineStr">
        <is>
          <t>기획서 4.7에 정의는 있음 — 구현 항목</t>
        </is>
      </c>
    </row>
    <row r="13">
      <c r="A13" s="31" t="inlineStr">
        <is>
          <t>INT 효과</t>
        </is>
      </c>
      <c r="B13" s="31" t="inlineStr">
        <is>
          <t>-</t>
        </is>
      </c>
      <c r="C13" s="31" t="inlineStr">
        <is>
          <t>포자 살포(계수 1.10) 경로 있음</t>
        </is>
      </c>
      <c r="D13" s="31" t="inlineStr">
        <is>
          <t>성립 불가</t>
        </is>
      </c>
      <c r="E13" s="33" t="inlineStr">
        <is>
          <t>자동 공격이 총딜 83% + ATK 고정 → 결정 1로 교정</t>
        </is>
      </c>
    </row>
    <row r="15">
      <c r="A15" s="33" t="inlineStr">
        <is>
          <t>측정 방법: maker_execute_script로 LevelCurve / CombatFormula / GetCaptureRate를 실제 호출. 측정 스크립트는 프로젝트에 남기지 않았다.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0" min="1" max="1"/>
    <col width="15" customWidth="1" style="20" min="2" max="4"/>
  </cols>
  <sheetData>
    <row r="1" ht="17.15" customHeight="1" s="21">
      <c r="A1" s="22" t="inlineStr">
        <is>
          <t>캡 도달 시점(초기 캡)의 분배 빌드 비교 — 파란색 = 분배 입력</t>
        </is>
      </c>
    </row>
    <row r="2" ht="17.15" customHeight="1" s="21">
      <c r="A2" s="39" t="inlineStr">
        <is>
          <t>총 분배 P</t>
        </is>
      </c>
      <c r="B2" s="23">
        <f>(가정!$B$5-1)*가정!$B$6</f>
        <v/>
      </c>
    </row>
    <row r="4" ht="17.15" customHeight="1" s="21">
      <c r="A4" s="35" t="inlineStr">
        <is>
          <t>항목</t>
        </is>
      </c>
      <c r="B4" s="35" t="inlineStr">
        <is>
          <t>공격 몰빵</t>
        </is>
      </c>
      <c r="C4" s="35" t="inlineStr">
        <is>
          <t>밸런스형</t>
        </is>
      </c>
      <c r="D4" s="35" t="inlineStr">
        <is>
          <t>포획(LUK) 회차</t>
        </is>
      </c>
    </row>
    <row r="5" ht="17.15" customHeight="1" s="21">
      <c r="A5" s="36" t="inlineStr">
        <is>
          <t>ATK 분배 P</t>
        </is>
      </c>
      <c r="B5" s="24" t="n">
        <v>116</v>
      </c>
      <c r="C5" s="24" t="n">
        <v>58</v>
      </c>
      <c r="D5" s="24" t="n">
        <v>58</v>
      </c>
    </row>
    <row r="6" ht="17.15" customHeight="1" s="21">
      <c r="A6" s="36" t="inlineStr">
        <is>
          <t>DEF 분배 P</t>
        </is>
      </c>
      <c r="B6" s="24" t="n">
        <v>29</v>
      </c>
      <c r="C6" s="24" t="n">
        <v>44</v>
      </c>
      <c r="D6" s="24" t="n">
        <v>0</v>
      </c>
    </row>
    <row r="7" ht="17.15" customHeight="1" s="21">
      <c r="A7" s="36" t="inlineStr">
        <is>
          <t>LUK 분배 P</t>
        </is>
      </c>
      <c r="B7" s="24" t="n">
        <v>0</v>
      </c>
      <c r="C7" s="24" t="n">
        <v>43</v>
      </c>
      <c r="D7" s="24" t="n">
        <v>87</v>
      </c>
    </row>
    <row r="8" ht="15" customHeight="1" s="21">
      <c r="A8" s="40" t="inlineStr">
        <is>
          <t>분배 합계 검증</t>
        </is>
      </c>
      <c r="B8" s="41">
        <f>IF(SUM(B5:B7)=$B$2,"OK","합계 불일치!")</f>
        <v/>
      </c>
      <c r="C8" s="41">
        <f>IF(SUM(C5:C7)=$B$2,"OK","합계 불일치!")</f>
        <v/>
      </c>
      <c r="D8" s="41">
        <f>IF(SUM(D5:D7)=$B$2,"OK","합계 불일치!")</f>
        <v/>
      </c>
    </row>
    <row r="9" ht="15" customHeight="1" s="21">
      <c r="A9" s="36" t="inlineStr">
        <is>
          <t>ATK</t>
        </is>
      </c>
      <c r="B9" s="41">
        <f>가정!$B$14+B5*가정!$B$15</f>
        <v/>
      </c>
      <c r="C9" s="41">
        <f>가정!$B$14+C5*가정!$B$15</f>
        <v/>
      </c>
      <c r="D9" s="41">
        <f>가정!$B$14+D5*가정!$B$15</f>
        <v/>
      </c>
    </row>
    <row r="10" ht="17.15" customHeight="1" s="21">
      <c r="A10" s="40" t="inlineStr">
        <is>
          <t>타격 데미지 (vs 캡 몬스터)</t>
        </is>
      </c>
      <c r="B10" s="41">
        <f>ROUND(가정!$B$17*B9^2/(B9+INDEX(곡선·전투!$K$3:$K$62,가정!$B$5)),1)</f>
        <v/>
      </c>
      <c r="C10" s="41">
        <f>ROUND(가정!$B$17*C9^2/(C9+INDEX(곡선·전투!$K$3:$K$62,가정!$B$5)),1)</f>
        <v/>
      </c>
      <c r="D10" s="41">
        <f>ROUND(가정!$B$17*D9^2/(D9+INDEX(곡선·전투!$K$3:$K$62,가정!$B$5)),1)</f>
        <v/>
      </c>
    </row>
    <row r="11" ht="15" customHeight="1" s="21">
      <c r="A11" s="40" t="inlineStr">
        <is>
          <t>처치 타수</t>
        </is>
      </c>
      <c r="B11" s="41">
        <f>ROUNDUP(INDEX(곡선·전투!$J$3:$J$62,가정!$B$5)/B10,0)</f>
        <v/>
      </c>
      <c r="C11" s="41">
        <f>ROUNDUP(INDEX(곡선·전투!$J$3:$J$62,가정!$B$5)/C10,0)</f>
        <v/>
      </c>
      <c r="D11" s="41">
        <f>ROUNDUP(INDEX(곡선·전투!$J$3:$J$62,가정!$B$5)/D10,0)</f>
        <v/>
      </c>
    </row>
    <row r="12" ht="15" customHeight="1" s="21">
      <c r="A12" s="40" t="inlineStr">
        <is>
          <t>포획 확률</t>
        </is>
      </c>
      <c r="B12" s="42">
        <f>가정!$B$24+B7*가정!$B$25</f>
        <v/>
      </c>
      <c r="C12" s="42">
        <f>가정!$B$24+C7*가정!$B$25</f>
        <v/>
      </c>
      <c r="D12" s="42">
        <f>가정!$B$24+D7*가정!$B$25</f>
        <v/>
      </c>
    </row>
    <row r="13" ht="17.15" customHeight="1" s="21">
      <c r="A13" s="40" t="inlineStr">
        <is>
          <t>기대 처치 수 (1마리 포획)</t>
        </is>
      </c>
      <c r="B13" s="41">
        <f>ROUND(1/B12,0)</f>
        <v/>
      </c>
      <c r="C13" s="41">
        <f>ROUND(1/C12,0)</f>
        <v/>
      </c>
      <c r="D13" s="41">
        <f>ROUND(1/D12,0)</f>
        <v/>
      </c>
    </row>
    <row r="14" ht="17.15" customHeight="1" s="21">
      <c r="A14" s="40" t="inlineStr">
        <is>
          <t>천장 대비 (≤1이면 천장 전 기대 포획)</t>
        </is>
      </c>
      <c r="B14" s="41">
        <f>ROUND(B13/가정!$B$26,2)</f>
        <v/>
      </c>
      <c r="C14" s="41">
        <f>ROUND(C13/가정!$B$26,2)</f>
        <v/>
      </c>
      <c r="D14" s="41">
        <f>ROUND(D13/가정!$B$26,2)</f>
        <v/>
      </c>
    </row>
    <row r="15">
      <c r="A15" s="31" t="inlineStr">
        <is>
          <t>1타 상한 도달?</t>
        </is>
      </c>
      <c r="B15" s="38">
        <f>IF(B11&lt;=1,"도달 — 이 위로는 ATK가 무의미","아직")</f>
        <v/>
      </c>
      <c r="C15" s="38">
        <f>IF(C11&lt;=1,"도달 — 이 위로는 ATK가 무의미","아직")</f>
        <v/>
      </c>
      <c r="D15" s="38">
        <f>IF(D11&lt;=1,"도달 — 이 위로는 ATK가 무의미","아직")</f>
        <v/>
      </c>
    </row>
    <row r="16" ht="15" customHeight="1" s="21">
      <c r="A16" s="43" t="inlineStr">
        <is>
          <t>v0.2 실측: DEF는 전투에서 읽히지 않는다(미구현). 위 DEF 분배 P는 게이트 판정에만 쓰인다 — 피격 감쇄 구현 후 이 표를 다시 계산할 것.</t>
        </is>
      </c>
    </row>
    <row r="17">
      <c r="A17" s="33" t="inlineStr">
        <is>
          <t>v0.2 실측: 자동 공격이 총딜의 83%를 내고 계수 스탯이 ATK 고정이라 위 표는 액티브 스킬을 반영하지 못한다. 결정 1(max(ATK,INT)) 적용 후 INT 열을 추가할 것.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0" min="1" max="1"/>
    <col width="14" customWidth="1" style="20" min="2" max="2"/>
    <col width="26" customWidth="1" style="20" min="3" max="3"/>
    <col width="36" customWidth="1" style="20" min="4" max="4"/>
  </cols>
  <sheetData>
    <row r="1" ht="17.15" customHeight="1" s="21">
      <c r="A1" s="22" t="inlineStr">
        <is>
          <t>도달 레벨 랜드마크 (환생 시점에 보상 획득) — 전부 초안, 파란색 = 설계 입력</t>
        </is>
      </c>
    </row>
    <row r="3" ht="17.15" customHeight="1" s="21">
      <c r="A3" s="35" t="inlineStr">
        <is>
          <t>도달 Lv</t>
        </is>
      </c>
      <c r="B3" s="35" t="inlineStr">
        <is>
          <t>보상 유형</t>
        </is>
      </c>
      <c r="C3" s="35" t="inlineStr">
        <is>
          <t>보상 내용</t>
        </is>
      </c>
      <c r="D3" s="35" t="inlineStr">
        <is>
          <t>설계 의도</t>
        </is>
      </c>
    </row>
    <row r="4" ht="15" customHeight="1" s="21">
      <c r="A4" s="24" t="n">
        <v>30</v>
      </c>
      <c r="B4" s="44" t="inlineStr">
        <is>
          <t>초기 캡</t>
        </is>
      </c>
      <c r="C4" s="44" t="inlineStr">
        <is>
          <t>첫 환생 가능</t>
        </is>
      </c>
      <c r="D4" s="45" t="inlineStr">
        <is>
          <t>튜토리얼의 완성. 첫날 도달</t>
        </is>
      </c>
    </row>
    <row r="5" ht="17.15" customHeight="1" s="21">
      <c r="A5" s="24" t="n">
        <v>40</v>
      </c>
      <c r="B5" s="44" t="inlineStr">
        <is>
          <t>캡 확장</t>
        </is>
      </c>
      <c r="C5" s="44" t="inlineStr">
        <is>
          <t>캡 30 → 40</t>
        </is>
      </c>
      <c r="D5" s="45" t="inlineStr">
        <is>
          <t>두 번째 벽. 한 축만 상승 원칙</t>
        </is>
      </c>
    </row>
    <row r="6" ht="17.15" customHeight="1" s="21">
      <c r="A6" s="24" t="n">
        <v>50</v>
      </c>
      <c r="B6" s="44" t="inlineStr">
        <is>
          <t>스탯 티어</t>
        </is>
      </c>
      <c r="C6" s="44" t="inlineStr">
        <is>
          <t>레벨당 스탯 5 → 6</t>
        </is>
      </c>
      <c r="D6" s="45" t="inlineStr">
        <is>
          <t>첫 질적 도약</t>
        </is>
      </c>
    </row>
    <row r="7" ht="17.15" customHeight="1" s="21">
      <c r="A7" s="24" t="n">
        <v>55</v>
      </c>
      <c r="B7" s="44" t="inlineStr">
        <is>
          <t>직업 해금</t>
        </is>
      </c>
      <c r="C7" s="24" t="inlineStr">
        <is>
          <t>2번째 직업</t>
        </is>
      </c>
      <c r="D7" s="46" t="inlineStr">
        <is>
          <t>"다음 환생의 이유"</t>
        </is>
      </c>
    </row>
    <row r="8" ht="17.15" customHeight="1" s="21">
      <c r="A8" s="24" t="n">
        <v>70</v>
      </c>
      <c r="B8" s="44" t="inlineStr">
        <is>
          <t>슬롯 확장</t>
        </is>
      </c>
      <c r="C8" s="44" t="inlineStr">
        <is>
          <t>몬스터 스킬 슬롯 +1</t>
        </is>
      </c>
      <c r="D8" s="45" t="inlineStr">
        <is>
          <t>빌드 폭 확장</t>
        </is>
      </c>
    </row>
    <row r="9" ht="17.15" customHeight="1" s="21">
      <c r="A9" s="24" t="n">
        <v>85</v>
      </c>
      <c r="B9" s="44" t="inlineStr">
        <is>
          <t>직업 해금</t>
        </is>
      </c>
      <c r="C9" s="24" t="inlineStr">
        <is>
          <t>3번째 직업</t>
        </is>
      </c>
      <c r="D9" s="45" t="n"/>
    </row>
    <row r="10" ht="17.15" customHeight="1" s="21">
      <c r="A10" s="24" t="n">
        <v>100</v>
      </c>
      <c r="B10" s="44" t="inlineStr">
        <is>
          <t>스탯 티어</t>
        </is>
      </c>
      <c r="C10" s="44" t="inlineStr">
        <is>
          <t>레벨당 스탯 6 → 7</t>
        </is>
      </c>
      <c r="D10" s="45" t="inlineStr">
        <is>
          <t>두 자릿수 상징 레벨</t>
        </is>
      </c>
    </row>
    <row r="11" ht="17.15" customHeight="1" s="21">
      <c r="A11" s="24" t="n">
        <v>120</v>
      </c>
      <c r="B11" s="44" t="inlineStr">
        <is>
          <t>슬롯 확장</t>
        </is>
      </c>
      <c r="C11" s="44" t="inlineStr">
        <is>
          <t>몬스터 스킬 슬롯 +1</t>
        </is>
      </c>
      <c r="D11" s="45" t="n"/>
    </row>
    <row r="12" ht="17.15" customHeight="1" s="21">
      <c r="A12" s="24" t="n">
        <v>140</v>
      </c>
      <c r="B12" s="44" t="inlineStr">
        <is>
          <t>직업 해금</t>
        </is>
      </c>
      <c r="C12" s="24" t="inlineStr">
        <is>
          <t>4번째 직업</t>
        </is>
      </c>
      <c r="D12" s="45" t="n"/>
    </row>
    <row r="13" ht="17.15" customHeight="1" s="21">
      <c r="A13" s="24" t="n">
        <v>170</v>
      </c>
      <c r="B13" s="44" t="inlineStr">
        <is>
          <t>스탯 티어</t>
        </is>
      </c>
      <c r="C13" s="44" t="inlineStr">
        <is>
          <t>레벨당 스탯 7 → 8</t>
        </is>
      </c>
      <c r="D13" s="45" t="n"/>
    </row>
    <row r="14" ht="17.15" customHeight="1" s="21">
      <c r="A14" s="24" t="n">
        <v>200</v>
      </c>
      <c r="B14" s="44" t="inlineStr">
        <is>
          <t>대형 랜드마크</t>
        </is>
      </c>
      <c r="C14" s="44" t="inlineStr">
        <is>
          <t>상위 콘텐츠 개방 (로드맵)</t>
        </is>
      </c>
      <c r="D14" s="45" t="inlineStr">
        <is>
          <t>엔드게임 진입점</t>
        </is>
      </c>
    </row>
    <row r="16" ht="15" customHeight="1" s="21">
      <c r="A16" s="25" t="inlineStr">
        <is>
          <t>원칙: ① 한 랜드마크에 한 축만 ② 티어 간격은 완만하게 촘촘히 ③ 랜드마크 사이가 3회차 이상 벌어지면 사이에 보상 삽입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2026-07-09T02:54:33Z</dcterms:created>
  <dcterms:modified xsi:type="dcterms:W3CDTF">2026-08-07T15:21:04Z</dcterms:modified>
  <cp:revision>0</cp:revision>
</cp:coreProperties>
</file>